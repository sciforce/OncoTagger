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Владелец\.vscode\january_full_dataset_WOS_onco\wos_oncoarticleclassifier\"/>
    </mc:Choice>
  </mc:AlternateContent>
  <xr:revisionPtr revIDLastSave="0" documentId="13_ncr:1_{F47E59F7-3413-4D89-BE62-3E2272461CB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ancer Type Distribution" sheetId="7" r:id="rId1"/>
    <sheet name="Cancer Types Frequency" sheetId="1" r:id="rId2"/>
    <sheet name="AI Models Frequency" sheetId="2" r:id="rId3"/>
    <sheet name="Accuracy Categories" sheetId="3" r:id="rId4"/>
    <sheet name="Cancer Types by Year" sheetId="4" r:id="rId5"/>
    <sheet name="AI Models by Year" sheetId="5" r:id="rId6"/>
    <sheet name="Accuracy by Year" sheetId="6" r:id="rId7"/>
  </sheets>
  <definedNames>
    <definedName name="_xlnm._FilterDatabase" localSheetId="2" hidden="1">'AI Models Frequency'!$A$1:$B$1</definedName>
    <definedName name="_xlnm._FilterDatabase" localSheetId="0" hidden="1">'Cancer Type Distribution'!$A$1:$B$1</definedName>
    <definedName name="_xlnm._FilterDatabase" localSheetId="1" hidden="1">'Cancer Types Frequency'!$A$1:$B$1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2" i="2"/>
  <c r="B18" i="2"/>
  <c r="C33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7" i="7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" i="1"/>
  <c r="D35" i="7"/>
  <c r="C36" i="7" s="1"/>
  <c r="B34" i="1"/>
  <c r="C2" i="7" l="1"/>
  <c r="C3" i="7"/>
  <c r="C4" i="7"/>
  <c r="C5" i="7"/>
  <c r="C6" i="7"/>
</calcChain>
</file>

<file path=xl/sharedStrings.xml><?xml version="1.0" encoding="utf-8"?>
<sst xmlns="http://schemas.openxmlformats.org/spreadsheetml/2006/main" count="154" uniqueCount="62">
  <si>
    <t>breast cancer</t>
  </si>
  <si>
    <t>colorectal cancer</t>
  </si>
  <si>
    <t>prostate cancer</t>
  </si>
  <si>
    <t>lung cancer</t>
  </si>
  <si>
    <t>brain cancer</t>
  </si>
  <si>
    <t>cervical cancer</t>
  </si>
  <si>
    <t>liver cancer</t>
  </si>
  <si>
    <t>stomach cancer</t>
  </si>
  <si>
    <t>endometrial cancer</t>
  </si>
  <si>
    <t>skin cancer</t>
  </si>
  <si>
    <t>ovarian cancer</t>
  </si>
  <si>
    <t>head and neck cancer</t>
  </si>
  <si>
    <t>renal cancer</t>
  </si>
  <si>
    <t>mesothelioma</t>
  </si>
  <si>
    <t>parathyroid cancer</t>
  </si>
  <si>
    <t>gallbladder cancer</t>
  </si>
  <si>
    <t>occult primary cancer</t>
  </si>
  <si>
    <t>vaginal cancer</t>
  </si>
  <si>
    <t>vulvar cancer</t>
  </si>
  <si>
    <t>penile cancer</t>
  </si>
  <si>
    <t>neuroendocrine tumors</t>
  </si>
  <si>
    <t>mediastinal tumors</t>
  </si>
  <si>
    <t>bone cancers</t>
  </si>
  <si>
    <t>melanoma</t>
  </si>
  <si>
    <t>sarcoma</t>
  </si>
  <si>
    <t>oncohematologic malignancies</t>
  </si>
  <si>
    <t>bladder cancer</t>
  </si>
  <si>
    <t>esophageal cancer</t>
  </si>
  <si>
    <t>thyroid cancer</t>
  </si>
  <si>
    <t>testicular cancer</t>
  </si>
  <si>
    <t>pancreatic cancer</t>
  </si>
  <si>
    <t>various cancers</t>
  </si>
  <si>
    <t>Linear/Logistic Regression</t>
  </si>
  <si>
    <t>Decision Trees / Random Forests</t>
  </si>
  <si>
    <t>Support Vector Machines (SVM)</t>
  </si>
  <si>
    <t>Convolutional Neural Networks (CNN)</t>
  </si>
  <si>
    <t>Recurrent Neural Networks (RNN/LSTM)</t>
  </si>
  <si>
    <t>Generative Adversarial Networks (GANs)</t>
  </si>
  <si>
    <t>Artificial Neural Networks (ANN)</t>
  </si>
  <si>
    <t>Text Classification</t>
  </si>
  <si>
    <t>Recommendation Systems</t>
  </si>
  <si>
    <t>Genomic Models</t>
  </si>
  <si>
    <t>Clinical Decision Support Systems</t>
  </si>
  <si>
    <t>Autoencoder</t>
  </si>
  <si>
    <t>U-Net Models</t>
  </si>
  <si>
    <t>Gradient Boosting Models</t>
  </si>
  <si>
    <t>Information Extraction</t>
  </si>
  <si>
    <t>Ensemble</t>
  </si>
  <si>
    <t>count</t>
  </si>
  <si>
    <t>Accuracy_Category</t>
  </si>
  <si>
    <t>Unknown</t>
  </si>
  <si>
    <t>Very high accuracy (≥ 95%)</t>
  </si>
  <si>
    <t>High accuracy (90% - 94.9%)</t>
  </si>
  <si>
    <t>Medium accuracy (80% - 89.9%)</t>
  </si>
  <si>
    <t>Low accuracy (70% - 79.9%)</t>
  </si>
  <si>
    <t>Very low accuracy (&lt; 70%)</t>
  </si>
  <si>
    <t>Publication Year</t>
  </si>
  <si>
    <t>not specified</t>
  </si>
  <si>
    <t>AI MODELS</t>
  </si>
  <si>
    <t>summ=</t>
  </si>
  <si>
    <t>%</t>
  </si>
  <si>
    <t>Cancer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</si>
</sst>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10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6"/>
  <sheetViews>
    <sheetView topLeftCell="A10" workbookViewId="0">
      <selection activeCell="B36" sqref="B36"/>
    </sheetView>
  </sheetViews>
  <sheetFormatPr defaultRowHeight="15" x14ac:dyDescent="0.25"/>
  <cols>
    <col min="1" max="1" width="36.42578125" customWidth="1"/>
    <col min="3" max="3" width="9.140625" style="7"/>
  </cols>
  <sheetData>
    <row r="1" spans="1:3" x14ac:dyDescent="0.25">
      <c r="A1" s="1" t="s">
        <v>61</v>
      </c>
      <c r="B1" s="1" t="s">
        <v>48</v>
      </c>
      <c r="C1" s="7" t="s">
        <v>60</v>
      </c>
    </row>
    <row r="2" spans="1:3" x14ac:dyDescent="0.25">
      <c r="A2" s="1" t="s">
        <v>0</v>
      </c>
      <c r="B2">
        <v>3590</v>
      </c>
      <c r="C2" s="7">
        <f>B2/D35</f>
        <v>0.17534433916186382</v>
      </c>
    </row>
    <row r="3" spans="1:3" x14ac:dyDescent="0.25">
      <c r="A3" s="1" t="s">
        <v>4</v>
      </c>
      <c r="B3">
        <v>2520</v>
      </c>
      <c r="C3" s="7">
        <f>B3/D35</f>
        <v>0.12308293445345315</v>
      </c>
    </row>
    <row r="4" spans="1:3" x14ac:dyDescent="0.25">
      <c r="A4" s="1" t="s">
        <v>3</v>
      </c>
      <c r="B4">
        <v>2305</v>
      </c>
      <c r="C4" s="7">
        <f>B4/D35</f>
        <v>0.11258181107746409</v>
      </c>
    </row>
    <row r="5" spans="1:3" x14ac:dyDescent="0.25">
      <c r="A5" s="1" t="s">
        <v>31</v>
      </c>
      <c r="B5">
        <v>2087</v>
      </c>
      <c r="C5" s="7">
        <f>B5/D35</f>
        <v>0.10193416039855427</v>
      </c>
    </row>
    <row r="6" spans="1:3" x14ac:dyDescent="0.25">
      <c r="A6" s="1" t="s">
        <v>1</v>
      </c>
      <c r="B6">
        <v>1480</v>
      </c>
      <c r="C6" s="7">
        <f>B6/D35</f>
        <v>7.2286802774250272E-2</v>
      </c>
    </row>
    <row r="7" spans="1:3" x14ac:dyDescent="0.25">
      <c r="A7" s="1" t="s">
        <v>6</v>
      </c>
      <c r="B7">
        <v>1091</v>
      </c>
      <c r="C7" s="7">
        <f>B7/20474</f>
        <v>5.3287095828856108E-2</v>
      </c>
    </row>
    <row r="8" spans="1:3" x14ac:dyDescent="0.25">
      <c r="A8" s="1" t="s">
        <v>2</v>
      </c>
      <c r="B8">
        <v>1078</v>
      </c>
      <c r="C8" s="7">
        <f t="shared" ref="C8:C32" si="0">B8/20474</f>
        <v>5.2652144182866074E-2</v>
      </c>
    </row>
    <row r="9" spans="1:3" x14ac:dyDescent="0.25">
      <c r="A9" s="1" t="s">
        <v>25</v>
      </c>
      <c r="B9">
        <v>1016</v>
      </c>
      <c r="C9" s="7">
        <f t="shared" si="0"/>
        <v>4.962391325583667E-2</v>
      </c>
    </row>
    <row r="10" spans="1:3" x14ac:dyDescent="0.25">
      <c r="A10" s="1" t="s">
        <v>23</v>
      </c>
      <c r="B10">
        <v>642</v>
      </c>
      <c r="C10" s="7">
        <f t="shared" si="0"/>
        <v>3.1356842825046402E-2</v>
      </c>
    </row>
    <row r="11" spans="1:3" x14ac:dyDescent="0.25">
      <c r="A11" s="1" t="s">
        <v>5</v>
      </c>
      <c r="B11">
        <v>621</v>
      </c>
      <c r="C11" s="7">
        <f t="shared" si="0"/>
        <v>3.0331151704600958E-2</v>
      </c>
    </row>
    <row r="12" spans="1:3" x14ac:dyDescent="0.25">
      <c r="A12" s="1" t="s">
        <v>7</v>
      </c>
      <c r="B12">
        <v>572</v>
      </c>
      <c r="C12" s="7">
        <f t="shared" si="0"/>
        <v>2.7937872423561591E-2</v>
      </c>
    </row>
    <row r="13" spans="1:3" x14ac:dyDescent="0.25">
      <c r="A13" s="1" t="s">
        <v>11</v>
      </c>
      <c r="B13">
        <v>478</v>
      </c>
      <c r="C13" s="7">
        <f t="shared" si="0"/>
        <v>2.334668359871056E-2</v>
      </c>
    </row>
    <row r="14" spans="1:3" x14ac:dyDescent="0.25">
      <c r="A14" s="1" t="s">
        <v>9</v>
      </c>
      <c r="B14">
        <v>412</v>
      </c>
      <c r="C14" s="7">
        <f t="shared" si="0"/>
        <v>2.0123082934453453E-2</v>
      </c>
    </row>
    <row r="15" spans="1:3" x14ac:dyDescent="0.25">
      <c r="A15" s="1" t="s">
        <v>30</v>
      </c>
      <c r="B15">
        <v>391</v>
      </c>
      <c r="C15" s="7">
        <f t="shared" si="0"/>
        <v>1.9097391814008009E-2</v>
      </c>
    </row>
    <row r="16" spans="1:3" x14ac:dyDescent="0.25">
      <c r="A16" s="1" t="s">
        <v>24</v>
      </c>
      <c r="B16">
        <v>332</v>
      </c>
      <c r="C16" s="7">
        <f t="shared" si="0"/>
        <v>1.6215688189899383E-2</v>
      </c>
    </row>
    <row r="17" spans="1:3" x14ac:dyDescent="0.25">
      <c r="A17" s="1" t="s">
        <v>10</v>
      </c>
      <c r="B17">
        <v>330</v>
      </c>
      <c r="C17" s="7">
        <f t="shared" si="0"/>
        <v>1.6118003321285532E-2</v>
      </c>
    </row>
    <row r="18" spans="1:3" x14ac:dyDescent="0.25">
      <c r="A18" s="1" t="s">
        <v>28</v>
      </c>
      <c r="B18">
        <v>298</v>
      </c>
      <c r="C18" s="7">
        <f t="shared" si="0"/>
        <v>1.4555045423463905E-2</v>
      </c>
    </row>
    <row r="19" spans="1:3" x14ac:dyDescent="0.25">
      <c r="A19" s="1" t="s">
        <v>12</v>
      </c>
      <c r="B19">
        <v>284</v>
      </c>
      <c r="C19" s="7">
        <f t="shared" si="0"/>
        <v>1.3871251343166944E-2</v>
      </c>
    </row>
    <row r="20" spans="1:3" x14ac:dyDescent="0.25">
      <c r="A20" s="1" t="s">
        <v>26</v>
      </c>
      <c r="B20">
        <v>259</v>
      </c>
      <c r="C20" s="7">
        <f t="shared" si="0"/>
        <v>1.2650190485493797E-2</v>
      </c>
    </row>
    <row r="21" spans="1:3" x14ac:dyDescent="0.25">
      <c r="A21" s="1" t="s">
        <v>27</v>
      </c>
      <c r="B21">
        <v>211</v>
      </c>
      <c r="C21" s="7">
        <f t="shared" si="0"/>
        <v>1.0305753638761355E-2</v>
      </c>
    </row>
    <row r="22" spans="1:3" x14ac:dyDescent="0.25">
      <c r="A22" s="1" t="s">
        <v>20</v>
      </c>
      <c r="B22">
        <v>193</v>
      </c>
      <c r="C22" s="7">
        <f t="shared" si="0"/>
        <v>9.4265898212366906E-3</v>
      </c>
    </row>
    <row r="23" spans="1:3" x14ac:dyDescent="0.25">
      <c r="A23" s="1" t="s">
        <v>8</v>
      </c>
      <c r="B23">
        <v>118</v>
      </c>
      <c r="C23" s="7">
        <f t="shared" si="0"/>
        <v>5.7634072482172513E-3</v>
      </c>
    </row>
    <row r="24" spans="1:3" x14ac:dyDescent="0.25">
      <c r="A24" s="1" t="s">
        <v>16</v>
      </c>
      <c r="B24">
        <v>41</v>
      </c>
      <c r="C24" s="7">
        <f t="shared" si="0"/>
        <v>2.00253980658396E-3</v>
      </c>
    </row>
    <row r="25" spans="1:3" x14ac:dyDescent="0.25">
      <c r="A25" s="1" t="s">
        <v>22</v>
      </c>
      <c r="B25">
        <v>36</v>
      </c>
      <c r="C25" s="7">
        <f t="shared" si="0"/>
        <v>1.7583276350493309E-3</v>
      </c>
    </row>
    <row r="26" spans="1:3" x14ac:dyDescent="0.25">
      <c r="A26" s="1" t="s">
        <v>13</v>
      </c>
      <c r="B26">
        <v>36</v>
      </c>
      <c r="C26" s="7">
        <f t="shared" si="0"/>
        <v>1.7583276350493309E-3</v>
      </c>
    </row>
    <row r="27" spans="1:3" x14ac:dyDescent="0.25">
      <c r="A27" s="1" t="s">
        <v>15</v>
      </c>
      <c r="B27">
        <v>17</v>
      </c>
      <c r="C27" s="7">
        <f t="shared" si="0"/>
        <v>8.3032138321773963E-4</v>
      </c>
    </row>
    <row r="28" spans="1:3" x14ac:dyDescent="0.25">
      <c r="A28" s="1" t="s">
        <v>21</v>
      </c>
      <c r="B28">
        <v>15</v>
      </c>
      <c r="C28" s="7">
        <f t="shared" si="0"/>
        <v>7.3263651460388787E-4</v>
      </c>
    </row>
    <row r="29" spans="1:3" x14ac:dyDescent="0.25">
      <c r="A29" s="1" t="s">
        <v>29</v>
      </c>
      <c r="B29">
        <v>9</v>
      </c>
      <c r="C29" s="7">
        <f t="shared" si="0"/>
        <v>4.3958190876233272E-4</v>
      </c>
    </row>
    <row r="30" spans="1:3" x14ac:dyDescent="0.25">
      <c r="A30" s="1" t="s">
        <v>14</v>
      </c>
      <c r="B30">
        <v>6</v>
      </c>
      <c r="C30" s="7">
        <f t="shared" si="0"/>
        <v>2.9305460584155515E-4</v>
      </c>
    </row>
    <row r="31" spans="1:3" x14ac:dyDescent="0.25">
      <c r="A31" s="1" t="s">
        <v>19</v>
      </c>
      <c r="B31">
        <v>4</v>
      </c>
      <c r="C31" s="7">
        <f t="shared" si="0"/>
        <v>1.9536973722770342E-4</v>
      </c>
    </row>
    <row r="32" spans="1:3" x14ac:dyDescent="0.25">
      <c r="A32" s="1" t="s">
        <v>18</v>
      </c>
      <c r="B32">
        <v>1</v>
      </c>
      <c r="C32" s="8">
        <f t="shared" si="0"/>
        <v>4.8842434306925856E-5</v>
      </c>
    </row>
    <row r="33" spans="1:4" x14ac:dyDescent="0.25">
      <c r="A33" s="6" t="s">
        <v>17</v>
      </c>
      <c r="B33">
        <v>1</v>
      </c>
      <c r="C33" s="8">
        <f>B33/20474</f>
        <v>4.8842434306925856E-5</v>
      </c>
    </row>
    <row r="35" spans="1:4" x14ac:dyDescent="0.25">
      <c r="C35" s="7" t="s">
        <v>59</v>
      </c>
      <c r="D35">
        <f>SUM(B2:B33)</f>
        <v>20474</v>
      </c>
    </row>
    <row r="36" spans="1:4" x14ac:dyDescent="0.25">
      <c r="A36" s="1" t="s">
        <v>57</v>
      </c>
      <c r="B36">
        <v>6839</v>
      </c>
      <c r="C36" s="7">
        <f>B36/D35</f>
        <v>0.33403340822506594</v>
      </c>
    </row>
  </sheetData>
  <autoFilter ref="A1:B1" xr:uid="{00000000-0001-0000-0600-000000000000}">
    <sortState xmlns:xlrd2="http://schemas.microsoft.com/office/spreadsheetml/2017/richdata2" ref="A2:B35">
      <sortCondition descending="1" ref="B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workbookViewId="0">
      <pane ySplit="1" topLeftCell="A2" activePane="bottomLeft" state="frozen"/>
      <selection pane="bottomLeft" activeCell="C1" sqref="C1:C1048576"/>
    </sheetView>
  </sheetViews>
  <sheetFormatPr defaultRowHeight="15" x14ac:dyDescent="0.25"/>
  <cols>
    <col min="1" max="1" width="31.85546875" customWidth="1"/>
    <col min="3" max="3" width="13.5703125" style="8" customWidth="1"/>
  </cols>
  <sheetData>
    <row r="1" spans="1:3" x14ac:dyDescent="0.25">
      <c r="B1" s="1" t="s">
        <v>48</v>
      </c>
    </row>
    <row r="2" spans="1:3" x14ac:dyDescent="0.25">
      <c r="A2" s="1" t="s">
        <v>0</v>
      </c>
      <c r="B2">
        <v>3949</v>
      </c>
      <c r="C2" s="8">
        <f>B2/22346</f>
        <v>0.1767206658909872</v>
      </c>
    </row>
    <row r="3" spans="1:3" x14ac:dyDescent="0.25">
      <c r="A3" s="1" t="s">
        <v>4</v>
      </c>
      <c r="B3">
        <v>2716</v>
      </c>
      <c r="C3" s="8">
        <f>B3/22346</f>
        <v>0.12154300545959008</v>
      </c>
    </row>
    <row r="4" spans="1:3" x14ac:dyDescent="0.25">
      <c r="A4" s="1" t="s">
        <v>3</v>
      </c>
      <c r="B4">
        <v>2633</v>
      </c>
      <c r="C4" s="8">
        <f t="shared" ref="C4:C33" si="0">B4/22346</f>
        <v>0.11782869417345386</v>
      </c>
    </row>
    <row r="5" spans="1:3" x14ac:dyDescent="0.25">
      <c r="A5" s="1" t="s">
        <v>1</v>
      </c>
      <c r="B5">
        <v>1798</v>
      </c>
      <c r="C5" s="8">
        <f t="shared" si="0"/>
        <v>8.0461827620155732E-2</v>
      </c>
    </row>
    <row r="6" spans="1:3" x14ac:dyDescent="0.25">
      <c r="A6" s="1" t="s">
        <v>2</v>
      </c>
      <c r="B6">
        <v>1267</v>
      </c>
      <c r="C6" s="8">
        <f t="shared" si="0"/>
        <v>5.669918553656135E-2</v>
      </c>
    </row>
    <row r="7" spans="1:3" x14ac:dyDescent="0.25">
      <c r="A7" s="1" t="s">
        <v>6</v>
      </c>
      <c r="B7">
        <v>1218</v>
      </c>
      <c r="C7" s="8">
        <f t="shared" si="0"/>
        <v>5.4506399355589367E-2</v>
      </c>
    </row>
    <row r="8" spans="1:3" x14ac:dyDescent="0.25">
      <c r="A8" s="1" t="s">
        <v>25</v>
      </c>
      <c r="B8">
        <v>1200</v>
      </c>
      <c r="C8" s="8">
        <f t="shared" si="0"/>
        <v>5.3700886064620069E-2</v>
      </c>
    </row>
    <row r="9" spans="1:3" x14ac:dyDescent="0.25">
      <c r="A9" s="1" t="s">
        <v>31</v>
      </c>
      <c r="B9">
        <v>1098</v>
      </c>
      <c r="C9" s="8">
        <f t="shared" si="0"/>
        <v>4.913631074912736E-2</v>
      </c>
    </row>
    <row r="10" spans="1:3" x14ac:dyDescent="0.25">
      <c r="A10" s="1" t="s">
        <v>23</v>
      </c>
      <c r="B10">
        <v>907</v>
      </c>
      <c r="C10" s="8">
        <f t="shared" si="0"/>
        <v>4.0588919717175334E-2</v>
      </c>
    </row>
    <row r="11" spans="1:3" x14ac:dyDescent="0.25">
      <c r="A11" s="1" t="s">
        <v>5</v>
      </c>
      <c r="B11">
        <v>724</v>
      </c>
      <c r="C11" s="8">
        <f t="shared" si="0"/>
        <v>3.2399534592320776E-2</v>
      </c>
    </row>
    <row r="12" spans="1:3" x14ac:dyDescent="0.25">
      <c r="A12" s="1" t="s">
        <v>7</v>
      </c>
      <c r="B12">
        <v>657</v>
      </c>
      <c r="C12" s="8">
        <f t="shared" si="0"/>
        <v>2.9401235120379485E-2</v>
      </c>
    </row>
    <row r="13" spans="1:3" x14ac:dyDescent="0.25">
      <c r="A13" s="1" t="s">
        <v>9</v>
      </c>
      <c r="B13">
        <v>597</v>
      </c>
      <c r="C13" s="8">
        <f t="shared" si="0"/>
        <v>2.6716190817148482E-2</v>
      </c>
    </row>
    <row r="14" spans="1:3" x14ac:dyDescent="0.25">
      <c r="A14" s="1" t="s">
        <v>11</v>
      </c>
      <c r="B14">
        <v>525</v>
      </c>
      <c r="C14" s="8">
        <f t="shared" si="0"/>
        <v>2.3494137653271279E-2</v>
      </c>
    </row>
    <row r="15" spans="1:3" x14ac:dyDescent="0.25">
      <c r="A15" s="1" t="s">
        <v>30</v>
      </c>
      <c r="B15">
        <v>461</v>
      </c>
      <c r="C15" s="8">
        <f t="shared" si="0"/>
        <v>2.0630090396491541E-2</v>
      </c>
    </row>
    <row r="16" spans="1:3" x14ac:dyDescent="0.25">
      <c r="A16" s="1" t="s">
        <v>10</v>
      </c>
      <c r="B16">
        <v>403</v>
      </c>
      <c r="C16" s="8">
        <f t="shared" si="0"/>
        <v>1.8034547570034906E-2</v>
      </c>
    </row>
    <row r="17" spans="1:3" x14ac:dyDescent="0.25">
      <c r="A17" s="1" t="s">
        <v>24</v>
      </c>
      <c r="B17">
        <v>388</v>
      </c>
      <c r="C17" s="8">
        <f t="shared" si="0"/>
        <v>1.7363286494227154E-2</v>
      </c>
    </row>
    <row r="18" spans="1:3" x14ac:dyDescent="0.25">
      <c r="A18" s="1" t="s">
        <v>12</v>
      </c>
      <c r="B18">
        <v>339</v>
      </c>
      <c r="C18" s="8">
        <f t="shared" si="0"/>
        <v>1.5170500313255168E-2</v>
      </c>
    </row>
    <row r="19" spans="1:3" x14ac:dyDescent="0.25">
      <c r="A19" s="1" t="s">
        <v>28</v>
      </c>
      <c r="B19">
        <v>337</v>
      </c>
      <c r="C19" s="8">
        <f t="shared" si="0"/>
        <v>1.5080998836480801E-2</v>
      </c>
    </row>
    <row r="20" spans="1:3" x14ac:dyDescent="0.25">
      <c r="A20" s="1" t="s">
        <v>26</v>
      </c>
      <c r="B20">
        <v>295</v>
      </c>
      <c r="C20" s="8">
        <f t="shared" si="0"/>
        <v>1.3201467824219099E-2</v>
      </c>
    </row>
    <row r="21" spans="1:3" x14ac:dyDescent="0.25">
      <c r="A21" s="1" t="s">
        <v>27</v>
      </c>
      <c r="B21">
        <v>241</v>
      </c>
      <c r="C21" s="8">
        <f t="shared" si="0"/>
        <v>1.0784927951311196E-2</v>
      </c>
    </row>
    <row r="22" spans="1:3" x14ac:dyDescent="0.25">
      <c r="A22" s="1" t="s">
        <v>20</v>
      </c>
      <c r="B22">
        <v>230</v>
      </c>
      <c r="C22" s="8">
        <f t="shared" si="0"/>
        <v>1.029266982905218E-2</v>
      </c>
    </row>
    <row r="23" spans="1:3" x14ac:dyDescent="0.25">
      <c r="A23" s="1" t="s">
        <v>8</v>
      </c>
      <c r="B23">
        <v>150</v>
      </c>
      <c r="C23" s="8">
        <f t="shared" si="0"/>
        <v>6.7126107580775087E-3</v>
      </c>
    </row>
    <row r="24" spans="1:3" x14ac:dyDescent="0.25">
      <c r="A24" s="1" t="s">
        <v>16</v>
      </c>
      <c r="B24">
        <v>52</v>
      </c>
      <c r="C24" s="8">
        <f t="shared" si="0"/>
        <v>2.3270383961335362E-3</v>
      </c>
    </row>
    <row r="25" spans="1:3" x14ac:dyDescent="0.25">
      <c r="A25" s="1" t="s">
        <v>22</v>
      </c>
      <c r="B25">
        <v>45</v>
      </c>
      <c r="C25" s="8">
        <f t="shared" si="0"/>
        <v>2.0137832274232524E-3</v>
      </c>
    </row>
    <row r="26" spans="1:3" x14ac:dyDescent="0.25">
      <c r="A26" s="1" t="s">
        <v>13</v>
      </c>
      <c r="B26">
        <v>42</v>
      </c>
      <c r="C26" s="8">
        <f t="shared" si="0"/>
        <v>1.8795310122617023E-3</v>
      </c>
    </row>
    <row r="27" spans="1:3" x14ac:dyDescent="0.25">
      <c r="A27" s="1" t="s">
        <v>15</v>
      </c>
      <c r="B27">
        <v>22</v>
      </c>
      <c r="C27" s="8">
        <f t="shared" si="0"/>
        <v>9.8451624451803446E-4</v>
      </c>
    </row>
    <row r="28" spans="1:3" x14ac:dyDescent="0.25">
      <c r="A28" s="1" t="s">
        <v>21</v>
      </c>
      <c r="B28">
        <v>18</v>
      </c>
      <c r="C28" s="8">
        <f t="shared" si="0"/>
        <v>8.0551329096930095E-4</v>
      </c>
    </row>
    <row r="29" spans="1:3" x14ac:dyDescent="0.25">
      <c r="A29" s="1" t="s">
        <v>29</v>
      </c>
      <c r="B29">
        <v>17</v>
      </c>
      <c r="C29" s="8">
        <f t="shared" si="0"/>
        <v>7.6076255258211766E-4</v>
      </c>
    </row>
    <row r="30" spans="1:3" x14ac:dyDescent="0.25">
      <c r="A30" s="1" t="s">
        <v>14</v>
      </c>
      <c r="B30">
        <v>8</v>
      </c>
      <c r="C30" s="8">
        <f t="shared" si="0"/>
        <v>3.5800590709746713E-4</v>
      </c>
    </row>
    <row r="31" spans="1:3" x14ac:dyDescent="0.25">
      <c r="A31" s="1" t="s">
        <v>19</v>
      </c>
      <c r="B31">
        <v>5</v>
      </c>
      <c r="C31" s="8">
        <f t="shared" si="0"/>
        <v>2.2375369193591694E-4</v>
      </c>
    </row>
    <row r="32" spans="1:3" x14ac:dyDescent="0.25">
      <c r="A32" s="1" t="s">
        <v>17</v>
      </c>
      <c r="B32">
        <v>2</v>
      </c>
      <c r="C32" s="8">
        <f t="shared" si="0"/>
        <v>8.9501476774366781E-5</v>
      </c>
    </row>
    <row r="33" spans="1:3" x14ac:dyDescent="0.25">
      <c r="A33" s="1" t="s">
        <v>18</v>
      </c>
      <c r="B33">
        <v>2</v>
      </c>
      <c r="C33" s="8">
        <f t="shared" si="0"/>
        <v>8.9501476774366781E-5</v>
      </c>
    </row>
    <row r="34" spans="1:3" x14ac:dyDescent="0.25">
      <c r="B34">
        <f>SUM(B2:B33)</f>
        <v>22346</v>
      </c>
    </row>
  </sheetData>
  <autoFilter ref="A1:B1" xr:uid="{00000000-0001-0000-0000-000000000000}">
    <sortState xmlns:xlrd2="http://schemas.microsoft.com/office/spreadsheetml/2017/richdata2" ref="A2:B33">
      <sortCondition descending="1"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tabSelected="1" workbookViewId="0">
      <selection sqref="A1:C17"/>
    </sheetView>
  </sheetViews>
  <sheetFormatPr defaultRowHeight="15" x14ac:dyDescent="0.25"/>
  <cols>
    <col min="1" max="1" width="41.7109375" customWidth="1"/>
  </cols>
  <sheetData>
    <row r="1" spans="1:3" x14ac:dyDescent="0.25">
      <c r="A1" t="s">
        <v>58</v>
      </c>
      <c r="B1" s="1" t="s">
        <v>48</v>
      </c>
      <c r="C1" t="s">
        <v>60</v>
      </c>
    </row>
    <row r="2" spans="1:3" x14ac:dyDescent="0.25">
      <c r="A2" s="1" t="s">
        <v>35</v>
      </c>
      <c r="B2">
        <v>5633</v>
      </c>
      <c r="C2" s="7">
        <f>B2/24075</f>
        <v>0.23397715472481828</v>
      </c>
    </row>
    <row r="3" spans="1:3" x14ac:dyDescent="0.25">
      <c r="A3" s="1" t="s">
        <v>33</v>
      </c>
      <c r="B3">
        <v>3829</v>
      </c>
      <c r="C3" s="7">
        <f t="shared" ref="C3:C17" si="0">B3/24075</f>
        <v>0.15904465212876429</v>
      </c>
    </row>
    <row r="4" spans="1:3" x14ac:dyDescent="0.25">
      <c r="A4" s="1" t="s">
        <v>32</v>
      </c>
      <c r="B4">
        <v>2837</v>
      </c>
      <c r="C4" s="7">
        <f t="shared" si="0"/>
        <v>0.11784008307372794</v>
      </c>
    </row>
    <row r="5" spans="1:3" x14ac:dyDescent="0.25">
      <c r="A5" s="1" t="s">
        <v>45</v>
      </c>
      <c r="B5">
        <v>2723</v>
      </c>
      <c r="C5" s="7">
        <f t="shared" si="0"/>
        <v>0.11310488058151609</v>
      </c>
    </row>
    <row r="6" spans="1:3" x14ac:dyDescent="0.25">
      <c r="A6" s="1" t="s">
        <v>38</v>
      </c>
      <c r="B6">
        <v>1918</v>
      </c>
      <c r="C6" s="7">
        <f t="shared" si="0"/>
        <v>7.9667705088265831E-2</v>
      </c>
    </row>
    <row r="7" spans="1:3" x14ac:dyDescent="0.25">
      <c r="A7" s="1" t="s">
        <v>34</v>
      </c>
      <c r="B7">
        <v>1471</v>
      </c>
      <c r="C7" s="7">
        <f t="shared" si="0"/>
        <v>6.1100726895119417E-2</v>
      </c>
    </row>
    <row r="8" spans="1:3" x14ac:dyDescent="0.25">
      <c r="A8" s="1" t="s">
        <v>47</v>
      </c>
      <c r="B8">
        <v>1413</v>
      </c>
      <c r="C8" s="7">
        <f t="shared" si="0"/>
        <v>5.8691588785046732E-2</v>
      </c>
    </row>
    <row r="9" spans="1:3" x14ac:dyDescent="0.25">
      <c r="A9" s="1" t="s">
        <v>46</v>
      </c>
      <c r="B9">
        <v>1253</v>
      </c>
      <c r="C9" s="7">
        <f t="shared" si="0"/>
        <v>5.2045690550363448E-2</v>
      </c>
    </row>
    <row r="10" spans="1:3" x14ac:dyDescent="0.25">
      <c r="A10" s="1" t="s">
        <v>36</v>
      </c>
      <c r="B10">
        <v>785</v>
      </c>
      <c r="C10" s="7">
        <f t="shared" si="0"/>
        <v>3.2606438213914853E-2</v>
      </c>
    </row>
    <row r="11" spans="1:3" x14ac:dyDescent="0.25">
      <c r="A11" s="1" t="s">
        <v>37</v>
      </c>
      <c r="B11">
        <v>690</v>
      </c>
      <c r="C11" s="7">
        <f t="shared" si="0"/>
        <v>2.866043613707165E-2</v>
      </c>
    </row>
    <row r="12" spans="1:3" x14ac:dyDescent="0.25">
      <c r="A12" s="1" t="s">
        <v>44</v>
      </c>
      <c r="B12">
        <v>561</v>
      </c>
      <c r="C12" s="7">
        <f t="shared" si="0"/>
        <v>2.3302180685358255E-2</v>
      </c>
    </row>
    <row r="13" spans="1:3" x14ac:dyDescent="0.25">
      <c r="A13" s="1" t="s">
        <v>43</v>
      </c>
      <c r="B13">
        <v>551</v>
      </c>
      <c r="C13" s="7">
        <f t="shared" si="0"/>
        <v>2.2886812045690551E-2</v>
      </c>
    </row>
    <row r="14" spans="1:3" x14ac:dyDescent="0.25">
      <c r="A14" s="1" t="s">
        <v>39</v>
      </c>
      <c r="B14">
        <v>236</v>
      </c>
      <c r="C14" s="7">
        <f t="shared" si="0"/>
        <v>9.8026998961578404E-3</v>
      </c>
    </row>
    <row r="15" spans="1:3" x14ac:dyDescent="0.25">
      <c r="A15" s="1" t="s">
        <v>40</v>
      </c>
      <c r="B15">
        <v>119</v>
      </c>
      <c r="C15" s="7">
        <f t="shared" si="0"/>
        <v>4.9428868120456907E-3</v>
      </c>
    </row>
    <row r="16" spans="1:3" x14ac:dyDescent="0.25">
      <c r="A16" s="1" t="s">
        <v>41</v>
      </c>
      <c r="B16">
        <v>29</v>
      </c>
      <c r="C16" s="7">
        <f t="shared" si="0"/>
        <v>1.2045690550363448E-3</v>
      </c>
    </row>
    <row r="17" spans="1:3" x14ac:dyDescent="0.25">
      <c r="A17" s="1" t="s">
        <v>42</v>
      </c>
      <c r="B17">
        <v>27</v>
      </c>
      <c r="C17" s="7">
        <f t="shared" si="0"/>
        <v>1.1214953271028037E-3</v>
      </c>
    </row>
    <row r="18" spans="1:3" x14ac:dyDescent="0.25">
      <c r="B18">
        <f>SUM(B2:B17)</f>
        <v>24075</v>
      </c>
    </row>
  </sheetData>
  <autoFilter ref="A1:B1" xr:uid="{00000000-0001-0000-0100-000000000000}">
    <sortState xmlns:xlrd2="http://schemas.microsoft.com/office/spreadsheetml/2017/richdata2" ref="A2:B17">
      <sortCondition descending="1" ref="B1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33.85546875" customWidth="1"/>
  </cols>
  <sheetData>
    <row r="1" spans="1:2" x14ac:dyDescent="0.25">
      <c r="A1" s="1" t="s">
        <v>49</v>
      </c>
      <c r="B1" s="1" t="s">
        <v>48</v>
      </c>
    </row>
    <row r="2" spans="1:2" x14ac:dyDescent="0.25">
      <c r="A2" s="1" t="s">
        <v>50</v>
      </c>
      <c r="B2">
        <v>10539</v>
      </c>
    </row>
    <row r="3" spans="1:2" x14ac:dyDescent="0.25">
      <c r="A3" s="1" t="s">
        <v>51</v>
      </c>
      <c r="B3">
        <v>6722</v>
      </c>
    </row>
    <row r="4" spans="1:2" x14ac:dyDescent="0.25">
      <c r="A4" s="1" t="s">
        <v>52</v>
      </c>
      <c r="B4">
        <v>4430</v>
      </c>
    </row>
    <row r="5" spans="1:2" x14ac:dyDescent="0.25">
      <c r="A5" s="1" t="s">
        <v>53</v>
      </c>
      <c r="B5">
        <v>3702</v>
      </c>
    </row>
    <row r="6" spans="1:2" x14ac:dyDescent="0.25">
      <c r="A6" s="1" t="s">
        <v>54</v>
      </c>
      <c r="B6">
        <v>1529</v>
      </c>
    </row>
    <row r="7" spans="1:2" x14ac:dyDescent="0.25">
      <c r="A7" s="1" t="s">
        <v>55</v>
      </c>
      <c r="B7">
        <v>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8"/>
  <sheetViews>
    <sheetView workbookViewId="0"/>
  </sheetViews>
  <sheetFormatPr defaultRowHeight="15" x14ac:dyDescent="0.25"/>
  <sheetData>
    <row r="1" spans="1:33" x14ac:dyDescent="0.25">
      <c r="A1" s="1" t="s">
        <v>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5">
      <c r="A2" s="1">
        <v>2019</v>
      </c>
      <c r="B2">
        <v>285</v>
      </c>
      <c r="C2">
        <v>114</v>
      </c>
      <c r="D2">
        <v>102</v>
      </c>
      <c r="E2">
        <v>183</v>
      </c>
      <c r="F2">
        <v>187</v>
      </c>
      <c r="G2">
        <v>38</v>
      </c>
      <c r="H2">
        <v>61</v>
      </c>
      <c r="I2">
        <v>38</v>
      </c>
      <c r="J2">
        <v>5</v>
      </c>
      <c r="K2">
        <v>32</v>
      </c>
      <c r="L2">
        <v>31</v>
      </c>
      <c r="M2">
        <v>23</v>
      </c>
      <c r="N2">
        <v>13</v>
      </c>
      <c r="O2">
        <v>5</v>
      </c>
      <c r="P2">
        <v>0</v>
      </c>
      <c r="Q2">
        <v>1</v>
      </c>
      <c r="R2">
        <v>3</v>
      </c>
      <c r="S2">
        <v>0</v>
      </c>
      <c r="T2">
        <v>0</v>
      </c>
      <c r="U2">
        <v>0</v>
      </c>
      <c r="V2">
        <v>17</v>
      </c>
      <c r="W2">
        <v>1</v>
      </c>
      <c r="X2">
        <v>3</v>
      </c>
      <c r="Y2">
        <v>63</v>
      </c>
      <c r="Z2">
        <v>28</v>
      </c>
      <c r="AA2">
        <v>107</v>
      </c>
      <c r="AB2">
        <v>18</v>
      </c>
      <c r="AC2">
        <v>19</v>
      </c>
      <c r="AD2">
        <v>24</v>
      </c>
      <c r="AE2">
        <v>1</v>
      </c>
      <c r="AF2">
        <v>34</v>
      </c>
      <c r="AG2">
        <v>93</v>
      </c>
    </row>
    <row r="3" spans="1:33" x14ac:dyDescent="0.25">
      <c r="A3" s="1">
        <v>2020</v>
      </c>
      <c r="B3">
        <v>419</v>
      </c>
      <c r="C3">
        <v>190</v>
      </c>
      <c r="D3">
        <v>166</v>
      </c>
      <c r="E3">
        <v>275</v>
      </c>
      <c r="F3">
        <v>299</v>
      </c>
      <c r="G3">
        <v>81</v>
      </c>
      <c r="H3">
        <v>112</v>
      </c>
      <c r="I3">
        <v>65</v>
      </c>
      <c r="J3">
        <v>17</v>
      </c>
      <c r="K3">
        <v>58</v>
      </c>
      <c r="L3">
        <v>30</v>
      </c>
      <c r="M3">
        <v>61</v>
      </c>
      <c r="N3">
        <v>31</v>
      </c>
      <c r="O3">
        <v>6</v>
      </c>
      <c r="P3">
        <v>1</v>
      </c>
      <c r="Q3">
        <v>3</v>
      </c>
      <c r="R3">
        <v>14</v>
      </c>
      <c r="S3">
        <v>0</v>
      </c>
      <c r="T3">
        <v>0</v>
      </c>
      <c r="U3">
        <v>0</v>
      </c>
      <c r="V3">
        <v>27</v>
      </c>
      <c r="W3">
        <v>2</v>
      </c>
      <c r="X3">
        <v>5</v>
      </c>
      <c r="Y3">
        <v>100</v>
      </c>
      <c r="Z3">
        <v>32</v>
      </c>
      <c r="AA3">
        <v>143</v>
      </c>
      <c r="AB3">
        <v>26</v>
      </c>
      <c r="AC3">
        <v>30</v>
      </c>
      <c r="AD3">
        <v>28</v>
      </c>
      <c r="AE3">
        <v>1</v>
      </c>
      <c r="AF3">
        <v>43</v>
      </c>
      <c r="AG3">
        <v>119</v>
      </c>
    </row>
    <row r="4" spans="1:33" x14ac:dyDescent="0.25">
      <c r="A4" s="1">
        <v>2021</v>
      </c>
      <c r="B4">
        <v>586</v>
      </c>
      <c r="C4">
        <v>274</v>
      </c>
      <c r="D4">
        <v>217</v>
      </c>
      <c r="E4">
        <v>406</v>
      </c>
      <c r="F4">
        <v>410</v>
      </c>
      <c r="G4">
        <v>119</v>
      </c>
      <c r="H4">
        <v>196</v>
      </c>
      <c r="I4">
        <v>83</v>
      </c>
      <c r="J4">
        <v>17</v>
      </c>
      <c r="K4">
        <v>67</v>
      </c>
      <c r="L4">
        <v>56</v>
      </c>
      <c r="M4">
        <v>75</v>
      </c>
      <c r="N4">
        <v>49</v>
      </c>
      <c r="O4">
        <v>6</v>
      </c>
      <c r="P4">
        <v>0</v>
      </c>
      <c r="Q4">
        <v>2</v>
      </c>
      <c r="R4">
        <v>5</v>
      </c>
      <c r="S4">
        <v>0</v>
      </c>
      <c r="T4">
        <v>0</v>
      </c>
      <c r="U4">
        <v>1</v>
      </c>
      <c r="V4">
        <v>39</v>
      </c>
      <c r="W4">
        <v>1</v>
      </c>
      <c r="X4">
        <v>6</v>
      </c>
      <c r="Y4">
        <v>155</v>
      </c>
      <c r="Z4">
        <v>55</v>
      </c>
      <c r="AA4">
        <v>190</v>
      </c>
      <c r="AB4">
        <v>45</v>
      </c>
      <c r="AC4">
        <v>34</v>
      </c>
      <c r="AD4">
        <v>55</v>
      </c>
      <c r="AE4">
        <v>2</v>
      </c>
      <c r="AF4">
        <v>59</v>
      </c>
      <c r="AG4">
        <v>192</v>
      </c>
    </row>
    <row r="5" spans="1:33" x14ac:dyDescent="0.25">
      <c r="A5" s="1">
        <v>2022</v>
      </c>
      <c r="B5">
        <v>845</v>
      </c>
      <c r="C5">
        <v>341</v>
      </c>
      <c r="D5">
        <v>218</v>
      </c>
      <c r="E5">
        <v>533</v>
      </c>
      <c r="F5">
        <v>542</v>
      </c>
      <c r="G5">
        <v>146</v>
      </c>
      <c r="H5">
        <v>254</v>
      </c>
      <c r="I5">
        <v>153</v>
      </c>
      <c r="J5">
        <v>35</v>
      </c>
      <c r="K5">
        <v>144</v>
      </c>
      <c r="L5">
        <v>83</v>
      </c>
      <c r="M5">
        <v>91</v>
      </c>
      <c r="N5">
        <v>82</v>
      </c>
      <c r="O5">
        <v>15</v>
      </c>
      <c r="P5">
        <v>5</v>
      </c>
      <c r="Q5">
        <v>4</v>
      </c>
      <c r="R5">
        <v>12</v>
      </c>
      <c r="S5">
        <v>0</v>
      </c>
      <c r="T5">
        <v>1</v>
      </c>
      <c r="U5">
        <v>2</v>
      </c>
      <c r="V5">
        <v>41</v>
      </c>
      <c r="W5">
        <v>2</v>
      </c>
      <c r="X5">
        <v>8</v>
      </c>
      <c r="Y5">
        <v>217</v>
      </c>
      <c r="Z5">
        <v>89</v>
      </c>
      <c r="AA5">
        <v>254</v>
      </c>
      <c r="AB5">
        <v>56</v>
      </c>
      <c r="AC5">
        <v>48</v>
      </c>
      <c r="AD5">
        <v>69</v>
      </c>
      <c r="AE5">
        <v>4</v>
      </c>
      <c r="AF5">
        <v>87</v>
      </c>
      <c r="AG5">
        <v>213</v>
      </c>
    </row>
    <row r="6" spans="1:33" x14ac:dyDescent="0.25">
      <c r="A6" s="1">
        <v>2023</v>
      </c>
      <c r="B6">
        <v>901</v>
      </c>
      <c r="C6">
        <v>420</v>
      </c>
      <c r="D6">
        <v>285</v>
      </c>
      <c r="E6">
        <v>552</v>
      </c>
      <c r="F6">
        <v>617</v>
      </c>
      <c r="G6">
        <v>147</v>
      </c>
      <c r="H6">
        <v>292</v>
      </c>
      <c r="I6">
        <v>134</v>
      </c>
      <c r="J6">
        <v>27</v>
      </c>
      <c r="K6">
        <v>146</v>
      </c>
      <c r="L6">
        <v>90</v>
      </c>
      <c r="M6">
        <v>140</v>
      </c>
      <c r="N6">
        <v>85</v>
      </c>
      <c r="O6">
        <v>8</v>
      </c>
      <c r="P6">
        <v>2</v>
      </c>
      <c r="Q6">
        <v>7</v>
      </c>
      <c r="R6">
        <v>7</v>
      </c>
      <c r="S6">
        <v>0</v>
      </c>
      <c r="T6">
        <v>1</v>
      </c>
      <c r="U6">
        <v>0</v>
      </c>
      <c r="V6">
        <v>54</v>
      </c>
      <c r="W6">
        <v>2</v>
      </c>
      <c r="X6">
        <v>9</v>
      </c>
      <c r="Y6">
        <v>186</v>
      </c>
      <c r="Z6">
        <v>83</v>
      </c>
      <c r="AA6">
        <v>245</v>
      </c>
      <c r="AB6">
        <v>68</v>
      </c>
      <c r="AC6">
        <v>50</v>
      </c>
      <c r="AD6">
        <v>76</v>
      </c>
      <c r="AE6">
        <v>4</v>
      </c>
      <c r="AF6">
        <v>125</v>
      </c>
      <c r="AG6">
        <v>231</v>
      </c>
    </row>
    <row r="7" spans="1:33" x14ac:dyDescent="0.25">
      <c r="A7" s="1">
        <v>2024</v>
      </c>
      <c r="B7">
        <v>906</v>
      </c>
      <c r="C7">
        <v>455</v>
      </c>
      <c r="D7">
        <v>277</v>
      </c>
      <c r="E7">
        <v>683</v>
      </c>
      <c r="F7">
        <v>657</v>
      </c>
      <c r="G7">
        <v>192</v>
      </c>
      <c r="H7">
        <v>302</v>
      </c>
      <c r="I7">
        <v>183</v>
      </c>
      <c r="J7">
        <v>48</v>
      </c>
      <c r="K7">
        <v>149</v>
      </c>
      <c r="L7">
        <v>112</v>
      </c>
      <c r="M7">
        <v>134</v>
      </c>
      <c r="N7">
        <v>79</v>
      </c>
      <c r="O7">
        <v>2</v>
      </c>
      <c r="P7">
        <v>0</v>
      </c>
      <c r="Q7">
        <v>5</v>
      </c>
      <c r="R7">
        <v>11</v>
      </c>
      <c r="S7">
        <v>2</v>
      </c>
      <c r="T7">
        <v>0</v>
      </c>
      <c r="U7">
        <v>2</v>
      </c>
      <c r="V7">
        <v>52</v>
      </c>
      <c r="W7">
        <v>10</v>
      </c>
      <c r="X7">
        <v>14</v>
      </c>
      <c r="Y7">
        <v>183</v>
      </c>
      <c r="Z7">
        <v>101</v>
      </c>
      <c r="AA7">
        <v>260</v>
      </c>
      <c r="AB7">
        <v>82</v>
      </c>
      <c r="AC7">
        <v>59</v>
      </c>
      <c r="AD7">
        <v>85</v>
      </c>
      <c r="AE7">
        <v>5</v>
      </c>
      <c r="AF7">
        <v>113</v>
      </c>
      <c r="AG7">
        <v>250</v>
      </c>
    </row>
    <row r="8" spans="1:33" x14ac:dyDescent="0.25">
      <c r="A8" s="1">
        <v>2025</v>
      </c>
      <c r="B8">
        <v>7</v>
      </c>
      <c r="C8">
        <v>4</v>
      </c>
      <c r="D8">
        <v>2</v>
      </c>
      <c r="E8">
        <v>1</v>
      </c>
      <c r="F8">
        <v>4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</v>
      </c>
      <c r="Z8">
        <v>0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"/>
  <sheetViews>
    <sheetView workbookViewId="0">
      <selection activeCell="G13" sqref="G13"/>
    </sheetView>
  </sheetViews>
  <sheetFormatPr defaultRowHeight="15" x14ac:dyDescent="0.25"/>
  <cols>
    <col min="1" max="9" width="14.140625" style="5" customWidth="1"/>
    <col min="10" max="10" width="16.85546875" style="5" customWidth="1"/>
    <col min="11" max="17" width="14.140625" style="5" customWidth="1"/>
  </cols>
  <sheetData>
    <row r="1" spans="1:17" ht="60" x14ac:dyDescent="0.25">
      <c r="A1" s="4" t="s">
        <v>56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</row>
    <row r="2" spans="1:17" x14ac:dyDescent="0.25">
      <c r="A2" s="4">
        <v>2019</v>
      </c>
      <c r="B2" s="5">
        <v>160</v>
      </c>
      <c r="C2" s="5">
        <v>235</v>
      </c>
      <c r="D2" s="5">
        <v>101</v>
      </c>
      <c r="E2" s="5">
        <v>373</v>
      </c>
      <c r="F2" s="5">
        <v>25</v>
      </c>
      <c r="G2" s="5">
        <v>38</v>
      </c>
      <c r="H2" s="5">
        <v>118</v>
      </c>
      <c r="I2" s="5">
        <v>18</v>
      </c>
      <c r="J2" s="5">
        <v>15</v>
      </c>
      <c r="K2" s="5">
        <v>2</v>
      </c>
      <c r="L2" s="5">
        <v>2</v>
      </c>
      <c r="M2" s="5">
        <v>37</v>
      </c>
      <c r="N2" s="5">
        <v>19</v>
      </c>
      <c r="O2" s="5">
        <v>134</v>
      </c>
      <c r="P2" s="5">
        <v>72</v>
      </c>
      <c r="Q2" s="5">
        <v>79</v>
      </c>
    </row>
    <row r="3" spans="1:17" x14ac:dyDescent="0.25">
      <c r="A3" s="4">
        <v>2020</v>
      </c>
      <c r="B3" s="5">
        <v>261</v>
      </c>
      <c r="C3" s="5">
        <v>354</v>
      </c>
      <c r="D3" s="5">
        <v>135</v>
      </c>
      <c r="E3" s="5">
        <v>654</v>
      </c>
      <c r="F3" s="5">
        <v>47</v>
      </c>
      <c r="G3" s="5">
        <v>72</v>
      </c>
      <c r="H3" s="5">
        <v>205</v>
      </c>
      <c r="I3" s="5">
        <v>36</v>
      </c>
      <c r="J3" s="5">
        <v>12</v>
      </c>
      <c r="K3" s="5">
        <v>4</v>
      </c>
      <c r="L3" s="5">
        <v>6</v>
      </c>
      <c r="M3" s="5">
        <v>62</v>
      </c>
      <c r="N3" s="5">
        <v>47</v>
      </c>
      <c r="O3" s="5">
        <v>193</v>
      </c>
      <c r="P3" s="5">
        <v>131</v>
      </c>
      <c r="Q3" s="5">
        <v>135</v>
      </c>
    </row>
    <row r="4" spans="1:17" x14ac:dyDescent="0.25">
      <c r="A4" s="4">
        <v>2021</v>
      </c>
      <c r="B4" s="5">
        <v>428</v>
      </c>
      <c r="C4" s="5">
        <v>569</v>
      </c>
      <c r="D4" s="5">
        <v>215</v>
      </c>
      <c r="E4" s="5">
        <v>862</v>
      </c>
      <c r="F4" s="5">
        <v>83</v>
      </c>
      <c r="G4" s="5">
        <v>104</v>
      </c>
      <c r="H4" s="5">
        <v>311</v>
      </c>
      <c r="I4" s="5">
        <v>41</v>
      </c>
      <c r="J4" s="5">
        <v>17</v>
      </c>
      <c r="K4" s="5">
        <v>10</v>
      </c>
      <c r="L4" s="5">
        <v>4</v>
      </c>
      <c r="M4" s="5">
        <v>89</v>
      </c>
      <c r="N4" s="5">
        <v>74</v>
      </c>
      <c r="O4" s="5">
        <v>388</v>
      </c>
      <c r="P4" s="5">
        <v>172</v>
      </c>
      <c r="Q4" s="5">
        <v>197</v>
      </c>
    </row>
    <row r="5" spans="1:17" x14ac:dyDescent="0.25">
      <c r="A5" s="4">
        <v>2022</v>
      </c>
      <c r="B5" s="5">
        <v>603</v>
      </c>
      <c r="C5" s="5">
        <v>742</v>
      </c>
      <c r="D5" s="5">
        <v>328</v>
      </c>
      <c r="E5" s="5">
        <v>1203</v>
      </c>
      <c r="F5" s="5">
        <v>150</v>
      </c>
      <c r="G5" s="5">
        <v>116</v>
      </c>
      <c r="H5" s="5">
        <v>408</v>
      </c>
      <c r="I5" s="5">
        <v>37</v>
      </c>
      <c r="J5" s="5">
        <v>21</v>
      </c>
      <c r="K5" s="5">
        <v>4</v>
      </c>
      <c r="L5" s="5">
        <v>3</v>
      </c>
      <c r="M5" s="5">
        <v>97</v>
      </c>
      <c r="N5" s="5">
        <v>121</v>
      </c>
      <c r="O5" s="5">
        <v>554</v>
      </c>
      <c r="P5" s="5">
        <v>257</v>
      </c>
      <c r="Q5" s="5">
        <v>310</v>
      </c>
    </row>
    <row r="6" spans="1:17" x14ac:dyDescent="0.25">
      <c r="A6" s="4">
        <v>2023</v>
      </c>
      <c r="B6" s="5">
        <v>630</v>
      </c>
      <c r="C6" s="5">
        <v>842</v>
      </c>
      <c r="D6" s="5">
        <v>328</v>
      </c>
      <c r="E6" s="5">
        <v>1268</v>
      </c>
      <c r="F6" s="5">
        <v>204</v>
      </c>
      <c r="G6" s="5">
        <v>175</v>
      </c>
      <c r="H6" s="5">
        <v>422</v>
      </c>
      <c r="I6" s="5">
        <v>51</v>
      </c>
      <c r="J6" s="5">
        <v>23</v>
      </c>
      <c r="K6" s="5">
        <v>4</v>
      </c>
      <c r="L6" s="5">
        <v>4</v>
      </c>
      <c r="M6" s="5">
        <v>115</v>
      </c>
      <c r="N6" s="5">
        <v>153</v>
      </c>
      <c r="O6" s="5">
        <v>645</v>
      </c>
      <c r="P6" s="5">
        <v>292</v>
      </c>
      <c r="Q6" s="5">
        <v>342</v>
      </c>
    </row>
    <row r="7" spans="1:17" x14ac:dyDescent="0.25">
      <c r="A7" s="4">
        <v>2024</v>
      </c>
      <c r="B7" s="5">
        <v>748</v>
      </c>
      <c r="C7" s="5">
        <v>1080</v>
      </c>
      <c r="D7" s="5">
        <v>363</v>
      </c>
      <c r="E7" s="5">
        <v>1269</v>
      </c>
      <c r="F7" s="5">
        <v>273</v>
      </c>
      <c r="G7" s="5">
        <v>184</v>
      </c>
      <c r="H7" s="5">
        <v>450</v>
      </c>
      <c r="I7" s="5">
        <v>53</v>
      </c>
      <c r="J7" s="5">
        <v>31</v>
      </c>
      <c r="K7" s="5">
        <v>5</v>
      </c>
      <c r="L7" s="5">
        <v>8</v>
      </c>
      <c r="M7" s="5">
        <v>150</v>
      </c>
      <c r="N7" s="5">
        <v>146</v>
      </c>
      <c r="O7" s="5">
        <v>803</v>
      </c>
      <c r="P7" s="5">
        <v>326</v>
      </c>
      <c r="Q7" s="5">
        <v>349</v>
      </c>
    </row>
    <row r="8" spans="1:17" x14ac:dyDescent="0.25">
      <c r="A8" s="4">
        <v>2025</v>
      </c>
      <c r="B8" s="5">
        <v>7</v>
      </c>
      <c r="C8" s="5">
        <v>7</v>
      </c>
      <c r="D8" s="5">
        <v>1</v>
      </c>
      <c r="E8" s="5">
        <v>4</v>
      </c>
      <c r="F8" s="5">
        <v>3</v>
      </c>
      <c r="G8" s="5">
        <v>1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1</v>
      </c>
      <c r="N8" s="5">
        <v>1</v>
      </c>
      <c r="O8" s="5">
        <v>6</v>
      </c>
      <c r="P8" s="5">
        <v>3</v>
      </c>
      <c r="Q8" s="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selection activeCell="A8" sqref="A8:XFD8"/>
    </sheetView>
  </sheetViews>
  <sheetFormatPr defaultRowHeight="15" x14ac:dyDescent="0.25"/>
  <cols>
    <col min="1" max="1" width="19.42578125" customWidth="1"/>
  </cols>
  <sheetData>
    <row r="1" spans="1:7" s="3" customFormat="1" ht="60" x14ac:dyDescent="0.25">
      <c r="A1" s="2" t="s">
        <v>56</v>
      </c>
      <c r="B1" s="2" t="s">
        <v>52</v>
      </c>
      <c r="C1" s="2" t="s">
        <v>54</v>
      </c>
      <c r="D1" s="2" t="s">
        <v>53</v>
      </c>
      <c r="E1" s="2" t="s">
        <v>50</v>
      </c>
      <c r="F1" s="2" t="s">
        <v>51</v>
      </c>
      <c r="G1" s="2" t="s">
        <v>55</v>
      </c>
    </row>
    <row r="2" spans="1:7" x14ac:dyDescent="0.25">
      <c r="A2" s="1">
        <v>2019</v>
      </c>
      <c r="B2">
        <v>276</v>
      </c>
      <c r="C2">
        <v>119</v>
      </c>
      <c r="D2">
        <v>236</v>
      </c>
      <c r="E2">
        <v>873</v>
      </c>
      <c r="F2">
        <v>383</v>
      </c>
      <c r="G2">
        <v>42</v>
      </c>
    </row>
    <row r="3" spans="1:7" x14ac:dyDescent="0.25">
      <c r="A3" s="1">
        <v>2020</v>
      </c>
      <c r="B3">
        <v>476</v>
      </c>
      <c r="C3">
        <v>147</v>
      </c>
      <c r="D3">
        <v>390</v>
      </c>
      <c r="E3">
        <v>1287</v>
      </c>
      <c r="F3">
        <v>660</v>
      </c>
      <c r="G3">
        <v>47</v>
      </c>
    </row>
    <row r="4" spans="1:7" x14ac:dyDescent="0.25">
      <c r="A4" s="1">
        <v>2021</v>
      </c>
      <c r="B4">
        <v>693</v>
      </c>
      <c r="C4">
        <v>260</v>
      </c>
      <c r="D4">
        <v>553</v>
      </c>
      <c r="E4">
        <v>1546</v>
      </c>
      <c r="F4">
        <v>999</v>
      </c>
      <c r="G4">
        <v>57</v>
      </c>
    </row>
    <row r="5" spans="1:7" x14ac:dyDescent="0.25">
      <c r="A5" s="1">
        <v>2022</v>
      </c>
      <c r="B5">
        <v>972</v>
      </c>
      <c r="C5">
        <v>282</v>
      </c>
      <c r="D5">
        <v>763</v>
      </c>
      <c r="E5">
        <v>2062</v>
      </c>
      <c r="F5">
        <v>1407</v>
      </c>
      <c r="G5">
        <v>79</v>
      </c>
    </row>
    <row r="6" spans="1:7" x14ac:dyDescent="0.25">
      <c r="A6" s="1">
        <v>2023</v>
      </c>
      <c r="B6">
        <v>995</v>
      </c>
      <c r="C6">
        <v>323</v>
      </c>
      <c r="D6">
        <v>840</v>
      </c>
      <c r="E6">
        <v>2258</v>
      </c>
      <c r="F6">
        <v>1564</v>
      </c>
      <c r="G6">
        <v>82</v>
      </c>
    </row>
    <row r="7" spans="1:7" x14ac:dyDescent="0.25">
      <c r="A7" s="1">
        <v>2024</v>
      </c>
      <c r="B7">
        <v>1010</v>
      </c>
      <c r="C7">
        <v>395</v>
      </c>
      <c r="D7">
        <v>916</v>
      </c>
      <c r="E7">
        <v>2498</v>
      </c>
      <c r="F7">
        <v>1697</v>
      </c>
      <c r="G7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Cancer Type Distribution</vt:lpstr>
      <vt:lpstr>Cancer Types Frequency</vt:lpstr>
      <vt:lpstr>AI Models Frequency</vt:lpstr>
      <vt:lpstr>Accuracy Categories</vt:lpstr>
      <vt:lpstr>Cancer Types by Year</vt:lpstr>
      <vt:lpstr>AI Models by Year</vt:lpstr>
      <vt:lpstr>Accuracy by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Владелец</cp:lastModifiedBy>
  <dcterms:created xsi:type="dcterms:W3CDTF">2025-01-05T18:52:14Z</dcterms:created>
  <dcterms:modified xsi:type="dcterms:W3CDTF">2025-01-05T19:43:43Z</dcterms:modified>
</cp:coreProperties>
</file>