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Владелец\.vscode\oncotagger\45к\wos_oncoarticleclassifier\"/>
    </mc:Choice>
  </mc:AlternateContent>
  <xr:revisionPtr revIDLastSave="0" documentId="13_ncr:1_{E18A280E-6310-4C91-B716-4B8977F1A1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ancer Type Distribution" sheetId="7" r:id="rId1"/>
    <sheet name="Cancer Types Frequency" sheetId="1" r:id="rId2"/>
    <sheet name="AI Models Frequency" sheetId="2" r:id="rId3"/>
    <sheet name="Accuracy Categories" sheetId="3" r:id="rId4"/>
    <sheet name="Cancer Types by Year" sheetId="4" r:id="rId5"/>
    <sheet name="AI Models by Year" sheetId="5" r:id="rId6"/>
    <sheet name="Accuracy by Year" sheetId="6" r:id="rId7"/>
  </sheets>
  <definedNames>
    <definedName name="_xlnm._FilterDatabase" localSheetId="2" hidden="1">'AI Models Frequency'!$A$1:$B$1</definedName>
    <definedName name="_xlnm._FilterDatabase" localSheetId="1" hidden="1">'Cancer Types Frequency'!$A$1:$B$1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6" i="1" l="1"/>
</calcChain>
</file>

<file path=xl/sharedStrings.xml><?xml version="1.0" encoding="utf-8"?>
<sst xmlns="http://schemas.openxmlformats.org/spreadsheetml/2006/main" count="151" uniqueCount="61">
  <si>
    <t>breast cancer</t>
  </si>
  <si>
    <t>colorectal cancer</t>
  </si>
  <si>
    <t>prostate cancer</t>
  </si>
  <si>
    <t>lung cancer</t>
  </si>
  <si>
    <t>brain cancer</t>
  </si>
  <si>
    <t>cervical cancer</t>
  </si>
  <si>
    <t>liver cancer</t>
  </si>
  <si>
    <t>stomach cancer</t>
  </si>
  <si>
    <t>endometrial cancer</t>
  </si>
  <si>
    <t>skin cancer</t>
  </si>
  <si>
    <t>ovarian cancer</t>
  </si>
  <si>
    <t>head and neck cancer</t>
  </si>
  <si>
    <t>renal cancer</t>
  </si>
  <si>
    <t>mesothelioma</t>
  </si>
  <si>
    <t>parathyroid cancer</t>
  </si>
  <si>
    <t>gallbladder cancer</t>
  </si>
  <si>
    <t>occult primary cancer</t>
  </si>
  <si>
    <t>vaginal cancer</t>
  </si>
  <si>
    <t>vulvar cancer</t>
  </si>
  <si>
    <t>penile cancer</t>
  </si>
  <si>
    <t>neuroendocrine tumors</t>
  </si>
  <si>
    <t>mediastinal tumors</t>
  </si>
  <si>
    <t>bone cancers</t>
  </si>
  <si>
    <t>melanoma</t>
  </si>
  <si>
    <t>sarcoma</t>
  </si>
  <si>
    <t>oncohematologic malignancies</t>
  </si>
  <si>
    <t>bladder cancer</t>
  </si>
  <si>
    <t>esophageal cancer</t>
  </si>
  <si>
    <t>thyroid cancer</t>
  </si>
  <si>
    <t>testicular cancer</t>
  </si>
  <si>
    <t>pancreatic cancer</t>
  </si>
  <si>
    <t>various cancers</t>
  </si>
  <si>
    <t>Linear/Logistic Regression</t>
  </si>
  <si>
    <t>Decision Trees / Random Forests</t>
  </si>
  <si>
    <t>Support Vector Machines (SVM)</t>
  </si>
  <si>
    <t>Convolutional Neural Networks (CNN)</t>
  </si>
  <si>
    <t>Recurrent Neural Networks (RNN/LSTM)</t>
  </si>
  <si>
    <t>Generative Adversarial Networks (GANs)</t>
  </si>
  <si>
    <t>Artificial Neural Networks (ANN)</t>
  </si>
  <si>
    <t>Text Classification</t>
  </si>
  <si>
    <t>Recommendation Systems</t>
  </si>
  <si>
    <t>Genomic Models</t>
  </si>
  <si>
    <t>Clinical Decision Support Systems</t>
  </si>
  <si>
    <t>Autoencoder</t>
  </si>
  <si>
    <t>U-Net Models</t>
  </si>
  <si>
    <t>Gradient Boosting Models</t>
  </si>
  <si>
    <t>Information Extraction</t>
  </si>
  <si>
    <t>Ensemble</t>
  </si>
  <si>
    <t>count</t>
  </si>
  <si>
    <t>Accuracy_Category</t>
  </si>
  <si>
    <t>Unknown</t>
  </si>
  <si>
    <t>Very high accuracy (≥ 95%)</t>
  </si>
  <si>
    <t>High accuracy (90% - 94.9%)</t>
  </si>
  <si>
    <t>Medium accuracy (80% - 89.9%)</t>
  </si>
  <si>
    <t>Low accuracy (70% - 79.9%)</t>
  </si>
  <si>
    <t>Very low accuracy (&lt; 70%)</t>
  </si>
  <si>
    <t>Publication Year</t>
  </si>
  <si>
    <t>how_many_cancer_studied</t>
  </si>
  <si>
    <t>not specified</t>
  </si>
  <si>
    <t>cancer type</t>
  </si>
  <si>
    <t>AI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</si>
</sst>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33"/>
  <sheetViews>
    <sheetView tabSelected="1" workbookViewId="0">
      <selection activeCell="C5" sqref="C5"/>
    </sheetView>
  </sheetViews>
  <sheetFormatPr defaultRowHeight="15" x14ac:dyDescent="0.25"/>
  <cols>
    <col min="1" max="1" width="44.5703125" customWidth="1"/>
  </cols>
  <sheetData>
    <row r="1" spans="1:2" x14ac:dyDescent="0.25">
      <c r="A1" s="1" t="s">
        <v>57</v>
      </c>
      <c r="B1" s="1" t="s">
        <v>48</v>
      </c>
    </row>
    <row r="2" spans="1:2" x14ac:dyDescent="0.25">
      <c r="A2" s="1" t="s">
        <v>58</v>
      </c>
      <c r="B2">
        <v>6526</v>
      </c>
    </row>
    <row r="3" spans="1:2" x14ac:dyDescent="0.25">
      <c r="A3" s="1" t="s">
        <v>0</v>
      </c>
      <c r="B3">
        <v>3434</v>
      </c>
    </row>
    <row r="4" spans="1:2" x14ac:dyDescent="0.25">
      <c r="A4" s="1" t="s">
        <v>4</v>
      </c>
      <c r="B4">
        <v>2436</v>
      </c>
    </row>
    <row r="5" spans="1:2" x14ac:dyDescent="0.25">
      <c r="A5" s="1" t="s">
        <v>3</v>
      </c>
      <c r="B5">
        <v>2190</v>
      </c>
    </row>
    <row r="6" spans="1:2" x14ac:dyDescent="0.25">
      <c r="A6" s="1" t="s">
        <v>31</v>
      </c>
      <c r="B6">
        <v>2033</v>
      </c>
    </row>
    <row r="7" spans="1:2" x14ac:dyDescent="0.25">
      <c r="A7" s="1" t="s">
        <v>1</v>
      </c>
      <c r="B7">
        <v>1422</v>
      </c>
    </row>
    <row r="8" spans="1:2" x14ac:dyDescent="0.25">
      <c r="A8" s="1" t="s">
        <v>2</v>
      </c>
      <c r="B8">
        <v>1043</v>
      </c>
    </row>
    <row r="9" spans="1:2" x14ac:dyDescent="0.25">
      <c r="A9" s="1" t="s">
        <v>6</v>
      </c>
      <c r="B9">
        <v>1032</v>
      </c>
    </row>
    <row r="10" spans="1:2" x14ac:dyDescent="0.25">
      <c r="A10" s="1" t="s">
        <v>25</v>
      </c>
      <c r="B10">
        <v>986</v>
      </c>
    </row>
    <row r="11" spans="1:2" x14ac:dyDescent="0.25">
      <c r="A11" s="1" t="s">
        <v>23</v>
      </c>
      <c r="B11">
        <v>627</v>
      </c>
    </row>
    <row r="12" spans="1:2" x14ac:dyDescent="0.25">
      <c r="A12" s="1" t="s">
        <v>5</v>
      </c>
      <c r="B12">
        <v>594</v>
      </c>
    </row>
    <row r="13" spans="1:2" x14ac:dyDescent="0.25">
      <c r="A13" s="1" t="s">
        <v>7</v>
      </c>
      <c r="B13">
        <v>528</v>
      </c>
    </row>
    <row r="14" spans="1:2" x14ac:dyDescent="0.25">
      <c r="A14" s="1" t="s">
        <v>11</v>
      </c>
      <c r="B14">
        <v>458</v>
      </c>
    </row>
    <row r="15" spans="1:2" x14ac:dyDescent="0.25">
      <c r="A15" s="1" t="s">
        <v>9</v>
      </c>
      <c r="B15">
        <v>403</v>
      </c>
    </row>
    <row r="16" spans="1:2" x14ac:dyDescent="0.25">
      <c r="A16" s="1" t="s">
        <v>30</v>
      </c>
      <c r="B16">
        <v>368</v>
      </c>
    </row>
    <row r="17" spans="1:2" x14ac:dyDescent="0.25">
      <c r="A17" s="1" t="s">
        <v>10</v>
      </c>
      <c r="B17">
        <v>319</v>
      </c>
    </row>
    <row r="18" spans="1:2" x14ac:dyDescent="0.25">
      <c r="A18" s="1" t="s">
        <v>24</v>
      </c>
      <c r="B18">
        <v>315</v>
      </c>
    </row>
    <row r="19" spans="1:2" x14ac:dyDescent="0.25">
      <c r="A19" s="1" t="s">
        <v>28</v>
      </c>
      <c r="B19">
        <v>281</v>
      </c>
    </row>
    <row r="20" spans="1:2" x14ac:dyDescent="0.25">
      <c r="A20" s="1" t="s">
        <v>12</v>
      </c>
      <c r="B20">
        <v>275</v>
      </c>
    </row>
    <row r="21" spans="1:2" x14ac:dyDescent="0.25">
      <c r="A21" s="1" t="s">
        <v>26</v>
      </c>
      <c r="B21">
        <v>238</v>
      </c>
    </row>
    <row r="22" spans="1:2" x14ac:dyDescent="0.25">
      <c r="A22" s="1" t="s">
        <v>27</v>
      </c>
      <c r="B22">
        <v>205</v>
      </c>
    </row>
    <row r="23" spans="1:2" x14ac:dyDescent="0.25">
      <c r="A23" s="1" t="s">
        <v>20</v>
      </c>
      <c r="B23">
        <v>188</v>
      </c>
    </row>
    <row r="24" spans="1:2" x14ac:dyDescent="0.25">
      <c r="A24" s="1" t="s">
        <v>8</v>
      </c>
      <c r="B24">
        <v>114</v>
      </c>
    </row>
    <row r="25" spans="1:2" x14ac:dyDescent="0.25">
      <c r="A25" s="1" t="s">
        <v>16</v>
      </c>
      <c r="B25">
        <v>40</v>
      </c>
    </row>
    <row r="26" spans="1:2" x14ac:dyDescent="0.25">
      <c r="A26" s="1" t="s">
        <v>13</v>
      </c>
      <c r="B26">
        <v>35</v>
      </c>
    </row>
    <row r="27" spans="1:2" x14ac:dyDescent="0.25">
      <c r="A27" s="1" t="s">
        <v>22</v>
      </c>
      <c r="B27">
        <v>32</v>
      </c>
    </row>
    <row r="28" spans="1:2" x14ac:dyDescent="0.25">
      <c r="A28" s="1" t="s">
        <v>15</v>
      </c>
      <c r="B28">
        <v>16</v>
      </c>
    </row>
    <row r="29" spans="1:2" x14ac:dyDescent="0.25">
      <c r="A29" s="1" t="s">
        <v>21</v>
      </c>
      <c r="B29">
        <v>14</v>
      </c>
    </row>
    <row r="30" spans="1:2" x14ac:dyDescent="0.25">
      <c r="A30" s="1" t="s">
        <v>29</v>
      </c>
      <c r="B30">
        <v>9</v>
      </c>
    </row>
    <row r="31" spans="1:2" x14ac:dyDescent="0.25">
      <c r="A31" s="1" t="s">
        <v>14</v>
      </c>
      <c r="B31">
        <v>6</v>
      </c>
    </row>
    <row r="32" spans="1:2" x14ac:dyDescent="0.25">
      <c r="A32" s="1" t="s">
        <v>19</v>
      </c>
      <c r="B32">
        <v>3</v>
      </c>
    </row>
    <row r="33" spans="1:2" x14ac:dyDescent="0.25">
      <c r="A33" s="1" t="s">
        <v>18</v>
      </c>
      <c r="B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workbookViewId="0">
      <selection activeCell="E18" sqref="E18"/>
    </sheetView>
  </sheetViews>
  <sheetFormatPr defaultRowHeight="15" x14ac:dyDescent="0.25"/>
  <cols>
    <col min="1" max="1" width="33" customWidth="1"/>
  </cols>
  <sheetData>
    <row r="1" spans="1:5" x14ac:dyDescent="0.25">
      <c r="A1" t="s">
        <v>59</v>
      </c>
      <c r="B1" s="1" t="s">
        <v>48</v>
      </c>
    </row>
    <row r="2" spans="1:5" x14ac:dyDescent="0.25">
      <c r="A2" s="1" t="s">
        <v>0</v>
      </c>
      <c r="B2">
        <v>3778</v>
      </c>
    </row>
    <row r="3" spans="1:5" x14ac:dyDescent="0.25">
      <c r="A3" s="1" t="s">
        <v>4</v>
      </c>
      <c r="B3">
        <v>2633</v>
      </c>
    </row>
    <row r="4" spans="1:5" x14ac:dyDescent="0.25">
      <c r="A4" s="1" t="s">
        <v>3</v>
      </c>
      <c r="B4">
        <v>2499</v>
      </c>
    </row>
    <row r="5" spans="1:5" x14ac:dyDescent="0.25">
      <c r="A5" s="1" t="s">
        <v>1</v>
      </c>
      <c r="B5">
        <v>1738</v>
      </c>
    </row>
    <row r="6" spans="1:5" x14ac:dyDescent="0.25">
      <c r="A6" s="1" t="s">
        <v>2</v>
      </c>
      <c r="B6">
        <v>1226</v>
      </c>
    </row>
    <row r="7" spans="1:5" x14ac:dyDescent="0.25">
      <c r="A7" s="1" t="s">
        <v>25</v>
      </c>
      <c r="B7">
        <v>1162</v>
      </c>
    </row>
    <row r="8" spans="1:5" x14ac:dyDescent="0.25">
      <c r="A8" s="1" t="s">
        <v>6</v>
      </c>
      <c r="B8">
        <v>1147</v>
      </c>
    </row>
    <row r="9" spans="1:5" x14ac:dyDescent="0.25">
      <c r="A9" s="1" t="s">
        <v>31</v>
      </c>
      <c r="B9">
        <v>1070</v>
      </c>
    </row>
    <row r="10" spans="1:5" x14ac:dyDescent="0.25">
      <c r="A10" s="1" t="s">
        <v>23</v>
      </c>
      <c r="B10">
        <v>888</v>
      </c>
    </row>
    <row r="11" spans="1:5" x14ac:dyDescent="0.25">
      <c r="A11" s="1" t="s">
        <v>5</v>
      </c>
      <c r="B11">
        <v>692</v>
      </c>
    </row>
    <row r="12" spans="1:5" x14ac:dyDescent="0.25">
      <c r="A12" s="1" t="s">
        <v>7</v>
      </c>
      <c r="B12">
        <v>610</v>
      </c>
    </row>
    <row r="13" spans="1:5" x14ac:dyDescent="0.25">
      <c r="A13" s="1" t="s">
        <v>9</v>
      </c>
      <c r="B13">
        <v>588</v>
      </c>
    </row>
    <row r="14" spans="1:5" x14ac:dyDescent="0.25">
      <c r="A14" s="1" t="s">
        <v>11</v>
      </c>
      <c r="B14">
        <v>505</v>
      </c>
    </row>
    <row r="15" spans="1:5" x14ac:dyDescent="0.25">
      <c r="A15" s="1" t="s">
        <v>30</v>
      </c>
      <c r="B15">
        <v>435</v>
      </c>
    </row>
    <row r="16" spans="1:5" x14ac:dyDescent="0.25">
      <c r="A16" s="1" t="s">
        <v>10</v>
      </c>
      <c r="B16">
        <v>388</v>
      </c>
      <c r="E16">
        <f>SUM(B2:B33)</f>
        <v>21451</v>
      </c>
    </row>
    <row r="17" spans="1:2" x14ac:dyDescent="0.25">
      <c r="A17" s="1" t="s">
        <v>24</v>
      </c>
      <c r="B17">
        <v>365</v>
      </c>
    </row>
    <row r="18" spans="1:2" x14ac:dyDescent="0.25">
      <c r="A18" s="1" t="s">
        <v>12</v>
      </c>
      <c r="B18">
        <v>329</v>
      </c>
    </row>
    <row r="19" spans="1:2" x14ac:dyDescent="0.25">
      <c r="A19" s="1" t="s">
        <v>28</v>
      </c>
      <c r="B19">
        <v>318</v>
      </c>
    </row>
    <row r="20" spans="1:2" x14ac:dyDescent="0.25">
      <c r="A20" s="1" t="s">
        <v>26</v>
      </c>
      <c r="B20">
        <v>277</v>
      </c>
    </row>
    <row r="21" spans="1:2" x14ac:dyDescent="0.25">
      <c r="A21" s="1" t="s">
        <v>27</v>
      </c>
      <c r="B21">
        <v>235</v>
      </c>
    </row>
    <row r="22" spans="1:2" x14ac:dyDescent="0.25">
      <c r="A22" s="1" t="s">
        <v>20</v>
      </c>
      <c r="B22">
        <v>225</v>
      </c>
    </row>
    <row r="23" spans="1:2" x14ac:dyDescent="0.25">
      <c r="A23" s="1" t="s">
        <v>8</v>
      </c>
      <c r="B23">
        <v>145</v>
      </c>
    </row>
    <row r="24" spans="1:2" x14ac:dyDescent="0.25">
      <c r="A24" s="1" t="s">
        <v>16</v>
      </c>
      <c r="B24">
        <v>50</v>
      </c>
    </row>
    <row r="25" spans="1:2" x14ac:dyDescent="0.25">
      <c r="A25" s="1" t="s">
        <v>13</v>
      </c>
      <c r="B25">
        <v>41</v>
      </c>
    </row>
    <row r="26" spans="1:2" x14ac:dyDescent="0.25">
      <c r="A26" s="1" t="s">
        <v>22</v>
      </c>
      <c r="B26">
        <v>38</v>
      </c>
    </row>
    <row r="27" spans="1:2" x14ac:dyDescent="0.25">
      <c r="A27" s="1" t="s">
        <v>15</v>
      </c>
      <c r="B27">
        <v>21</v>
      </c>
    </row>
    <row r="28" spans="1:2" x14ac:dyDescent="0.25">
      <c r="A28" s="1" t="s">
        <v>21</v>
      </c>
      <c r="B28">
        <v>17</v>
      </c>
    </row>
    <row r="29" spans="1:2" x14ac:dyDescent="0.25">
      <c r="A29" s="1" t="s">
        <v>29</v>
      </c>
      <c r="B29">
        <v>17</v>
      </c>
    </row>
    <row r="30" spans="1:2" x14ac:dyDescent="0.25">
      <c r="A30" s="1" t="s">
        <v>14</v>
      </c>
      <c r="B30">
        <v>8</v>
      </c>
    </row>
    <row r="31" spans="1:2" x14ac:dyDescent="0.25">
      <c r="A31" s="1" t="s">
        <v>19</v>
      </c>
      <c r="B31">
        <v>4</v>
      </c>
    </row>
    <row r="32" spans="1:2" x14ac:dyDescent="0.25">
      <c r="A32" s="1" t="s">
        <v>18</v>
      </c>
      <c r="B32">
        <v>2</v>
      </c>
    </row>
    <row r="33" spans="1:2" x14ac:dyDescent="0.25">
      <c r="A33" s="1" t="s">
        <v>17</v>
      </c>
      <c r="B33">
        <v>0</v>
      </c>
    </row>
  </sheetData>
  <autoFilter ref="A1:B1" xr:uid="{00000000-0001-0000-0000-000000000000}">
    <sortState xmlns:xlrd2="http://schemas.microsoft.com/office/spreadsheetml/2017/richdata2" ref="A2:B33">
      <sortCondition descending="1" ref="B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>
      <selection activeCell="D7" sqref="D7"/>
    </sheetView>
  </sheetViews>
  <sheetFormatPr defaultRowHeight="15" x14ac:dyDescent="0.25"/>
  <cols>
    <col min="1" max="1" width="46.85546875" customWidth="1"/>
  </cols>
  <sheetData>
    <row r="1" spans="1:2" x14ac:dyDescent="0.25">
      <c r="A1" t="s">
        <v>60</v>
      </c>
      <c r="B1" s="1" t="s">
        <v>48</v>
      </c>
    </row>
    <row r="2" spans="1:2" x14ac:dyDescent="0.25">
      <c r="A2" s="1" t="s">
        <v>35</v>
      </c>
      <c r="B2">
        <v>5622</v>
      </c>
    </row>
    <row r="3" spans="1:2" x14ac:dyDescent="0.25">
      <c r="A3" s="1" t="s">
        <v>33</v>
      </c>
      <c r="B3">
        <v>3594</v>
      </c>
    </row>
    <row r="4" spans="1:2" x14ac:dyDescent="0.25">
      <c r="A4" s="1" t="s">
        <v>32</v>
      </c>
      <c r="B4">
        <v>2662</v>
      </c>
    </row>
    <row r="5" spans="1:2" x14ac:dyDescent="0.25">
      <c r="A5" s="1" t="s">
        <v>45</v>
      </c>
      <c r="B5">
        <v>2547</v>
      </c>
    </row>
    <row r="6" spans="1:2" x14ac:dyDescent="0.25">
      <c r="A6" s="1" t="s">
        <v>38</v>
      </c>
      <c r="B6">
        <v>1889</v>
      </c>
    </row>
    <row r="7" spans="1:2" x14ac:dyDescent="0.25">
      <c r="A7" s="1" t="s">
        <v>34</v>
      </c>
      <c r="B7">
        <v>1412</v>
      </c>
    </row>
    <row r="8" spans="1:2" x14ac:dyDescent="0.25">
      <c r="A8" s="1" t="s">
        <v>47</v>
      </c>
      <c r="B8">
        <v>1375</v>
      </c>
    </row>
    <row r="9" spans="1:2" x14ac:dyDescent="0.25">
      <c r="A9" s="1" t="s">
        <v>46</v>
      </c>
      <c r="B9">
        <v>1225</v>
      </c>
    </row>
    <row r="10" spans="1:2" x14ac:dyDescent="0.25">
      <c r="A10" s="1" t="s">
        <v>36</v>
      </c>
      <c r="B10">
        <v>741</v>
      </c>
    </row>
    <row r="11" spans="1:2" x14ac:dyDescent="0.25">
      <c r="A11" s="1" t="s">
        <v>37</v>
      </c>
      <c r="B11">
        <v>661</v>
      </c>
    </row>
    <row r="12" spans="1:2" x14ac:dyDescent="0.25">
      <c r="A12" s="1" t="s">
        <v>44</v>
      </c>
      <c r="B12">
        <v>554</v>
      </c>
    </row>
    <row r="13" spans="1:2" x14ac:dyDescent="0.25">
      <c r="A13" s="1" t="s">
        <v>43</v>
      </c>
      <c r="B13">
        <v>526</v>
      </c>
    </row>
    <row r="14" spans="1:2" x14ac:dyDescent="0.25">
      <c r="A14" s="1" t="s">
        <v>39</v>
      </c>
      <c r="B14">
        <v>222</v>
      </c>
    </row>
    <row r="15" spans="1:2" x14ac:dyDescent="0.25">
      <c r="A15" s="1" t="s">
        <v>40</v>
      </c>
      <c r="B15">
        <v>114</v>
      </c>
    </row>
    <row r="16" spans="1:2" x14ac:dyDescent="0.25">
      <c r="A16" s="1" t="s">
        <v>41</v>
      </c>
      <c r="B16">
        <v>28</v>
      </c>
    </row>
    <row r="17" spans="1:2" x14ac:dyDescent="0.25">
      <c r="A17" s="1" t="s">
        <v>42</v>
      </c>
      <c r="B17">
        <v>26</v>
      </c>
    </row>
  </sheetData>
  <autoFilter ref="A1:B1" xr:uid="{00000000-0001-0000-0100-000000000000}">
    <sortState xmlns:xlrd2="http://schemas.microsoft.com/office/spreadsheetml/2017/richdata2" ref="A2:B17">
      <sortCondition descending="1" ref="B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5" x14ac:dyDescent="0.25"/>
  <cols>
    <col min="1" max="1" width="46.7109375" customWidth="1"/>
  </cols>
  <sheetData>
    <row r="1" spans="1:2" x14ac:dyDescent="0.25">
      <c r="A1" s="1" t="s">
        <v>49</v>
      </c>
      <c r="B1" s="1" t="s">
        <v>48</v>
      </c>
    </row>
    <row r="2" spans="1:2" x14ac:dyDescent="0.25">
      <c r="A2" s="1" t="s">
        <v>50</v>
      </c>
      <c r="B2">
        <v>9881</v>
      </c>
    </row>
    <row r="3" spans="1:2" x14ac:dyDescent="0.25">
      <c r="A3" s="1" t="s">
        <v>51</v>
      </c>
      <c r="B3">
        <v>6577</v>
      </c>
    </row>
    <row r="4" spans="1:2" x14ac:dyDescent="0.25">
      <c r="A4" s="1" t="s">
        <v>52</v>
      </c>
      <c r="B4">
        <v>4322</v>
      </c>
    </row>
    <row r="5" spans="1:2" x14ac:dyDescent="0.25">
      <c r="A5" s="1" t="s">
        <v>53</v>
      </c>
      <c r="B5">
        <v>3539</v>
      </c>
    </row>
    <row r="6" spans="1:2" x14ac:dyDescent="0.25">
      <c r="A6" s="1" t="s">
        <v>54</v>
      </c>
      <c r="B6">
        <v>1485</v>
      </c>
    </row>
    <row r="7" spans="1:2" x14ac:dyDescent="0.25">
      <c r="A7" s="1" t="s">
        <v>55</v>
      </c>
      <c r="B7">
        <v>367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"/>
  <sheetViews>
    <sheetView workbookViewId="0">
      <selection activeCell="L11" sqref="L11"/>
    </sheetView>
  </sheetViews>
  <sheetFormatPr defaultRowHeight="15" x14ac:dyDescent="0.25"/>
  <cols>
    <col min="1" max="1" width="10.85546875" customWidth="1"/>
    <col min="2" max="3" width="10.140625" customWidth="1"/>
    <col min="10" max="10" width="12.42578125" customWidth="1"/>
    <col min="15" max="15" width="13.5703125" customWidth="1"/>
    <col min="16" max="16" width="12.28515625" customWidth="1"/>
    <col min="17" max="17" width="11.5703125" customWidth="1"/>
    <col min="22" max="22" width="15.42578125" customWidth="1"/>
    <col min="23" max="23" width="12" customWidth="1"/>
    <col min="25" max="25" width="10.140625" customWidth="1"/>
    <col min="27" max="27" width="16.28515625" customWidth="1"/>
    <col min="29" max="29" width="11.5703125" customWidth="1"/>
    <col min="32" max="32" width="10" customWidth="1"/>
  </cols>
  <sheetData>
    <row r="1" spans="1:33" s="4" customFormat="1" ht="48.75" customHeight="1" x14ac:dyDescent="0.25">
      <c r="A1" s="2" t="s">
        <v>56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30</v>
      </c>
      <c r="AG1" s="2" t="s">
        <v>31</v>
      </c>
    </row>
    <row r="2" spans="1:33" s="5" customFormat="1" x14ac:dyDescent="0.25">
      <c r="A2" s="3">
        <v>2019</v>
      </c>
      <c r="B2" s="5">
        <v>290</v>
      </c>
      <c r="C2" s="5">
        <v>117</v>
      </c>
      <c r="D2" s="5">
        <v>104</v>
      </c>
      <c r="E2" s="5">
        <v>194</v>
      </c>
      <c r="F2" s="5">
        <v>193</v>
      </c>
      <c r="G2" s="5">
        <v>39</v>
      </c>
      <c r="H2" s="5">
        <v>61</v>
      </c>
      <c r="I2" s="5">
        <v>39</v>
      </c>
      <c r="J2" s="5">
        <v>5</v>
      </c>
      <c r="K2" s="5">
        <v>33</v>
      </c>
      <c r="L2" s="5">
        <v>33</v>
      </c>
      <c r="M2" s="5">
        <v>26</v>
      </c>
      <c r="N2" s="5">
        <v>15</v>
      </c>
      <c r="O2" s="5">
        <v>5</v>
      </c>
      <c r="P2" s="5">
        <v>0</v>
      </c>
      <c r="Q2" s="5">
        <v>1</v>
      </c>
      <c r="R2" s="5">
        <v>3</v>
      </c>
      <c r="S2" s="5">
        <v>0</v>
      </c>
      <c r="T2" s="5">
        <v>0</v>
      </c>
      <c r="U2" s="5">
        <v>0</v>
      </c>
      <c r="V2" s="5">
        <v>19</v>
      </c>
      <c r="W2" s="5">
        <v>1</v>
      </c>
      <c r="X2" s="5">
        <v>3</v>
      </c>
      <c r="Y2" s="5">
        <v>66</v>
      </c>
      <c r="Z2" s="5">
        <v>29</v>
      </c>
      <c r="AA2" s="5">
        <v>109</v>
      </c>
      <c r="AB2" s="5">
        <v>18</v>
      </c>
      <c r="AC2" s="5">
        <v>19</v>
      </c>
      <c r="AD2" s="5">
        <v>25</v>
      </c>
      <c r="AE2" s="5">
        <v>1</v>
      </c>
      <c r="AF2" s="5">
        <v>34</v>
      </c>
      <c r="AG2" s="5">
        <v>96</v>
      </c>
    </row>
    <row r="3" spans="1:33" s="5" customFormat="1" x14ac:dyDescent="0.25">
      <c r="A3" s="3">
        <v>2020</v>
      </c>
      <c r="B3" s="5">
        <v>429</v>
      </c>
      <c r="C3" s="5">
        <v>194</v>
      </c>
      <c r="D3" s="5">
        <v>169</v>
      </c>
      <c r="E3" s="5">
        <v>283</v>
      </c>
      <c r="F3" s="5">
        <v>307</v>
      </c>
      <c r="G3" s="5">
        <v>85</v>
      </c>
      <c r="H3" s="5">
        <v>118</v>
      </c>
      <c r="I3" s="5">
        <v>66</v>
      </c>
      <c r="J3" s="5">
        <v>17</v>
      </c>
      <c r="K3" s="5">
        <v>63</v>
      </c>
      <c r="L3" s="5">
        <v>30</v>
      </c>
      <c r="M3" s="5">
        <v>62</v>
      </c>
      <c r="N3" s="5">
        <v>32</v>
      </c>
      <c r="O3" s="5">
        <v>6</v>
      </c>
      <c r="P3" s="5">
        <v>1</v>
      </c>
      <c r="Q3" s="5">
        <v>3</v>
      </c>
      <c r="R3" s="5">
        <v>14</v>
      </c>
      <c r="S3" s="5">
        <v>0</v>
      </c>
      <c r="T3" s="5">
        <v>0</v>
      </c>
      <c r="U3" s="5">
        <v>0</v>
      </c>
      <c r="V3" s="5">
        <v>27</v>
      </c>
      <c r="W3" s="5">
        <v>2</v>
      </c>
      <c r="X3" s="5">
        <v>5</v>
      </c>
      <c r="Y3" s="5">
        <v>105</v>
      </c>
      <c r="Z3" s="5">
        <v>33</v>
      </c>
      <c r="AA3" s="5">
        <v>146</v>
      </c>
      <c r="AB3" s="5">
        <v>26</v>
      </c>
      <c r="AC3" s="5">
        <v>32</v>
      </c>
      <c r="AD3" s="5">
        <v>28</v>
      </c>
      <c r="AE3" s="5">
        <v>1</v>
      </c>
      <c r="AF3" s="5">
        <v>45</v>
      </c>
      <c r="AG3" s="5">
        <v>125</v>
      </c>
    </row>
    <row r="4" spans="1:33" s="5" customFormat="1" x14ac:dyDescent="0.25">
      <c r="A4" s="3">
        <v>2021</v>
      </c>
      <c r="B4" s="5">
        <v>596</v>
      </c>
      <c r="C4" s="5">
        <v>283</v>
      </c>
      <c r="D4" s="5">
        <v>221</v>
      </c>
      <c r="E4" s="5">
        <v>415</v>
      </c>
      <c r="F4" s="5">
        <v>425</v>
      </c>
      <c r="G4" s="5">
        <v>119</v>
      </c>
      <c r="H4" s="5">
        <v>203</v>
      </c>
      <c r="I4" s="5">
        <v>82</v>
      </c>
      <c r="J4" s="5">
        <v>19</v>
      </c>
      <c r="K4" s="5">
        <v>70</v>
      </c>
      <c r="L4" s="5">
        <v>58</v>
      </c>
      <c r="M4" s="5">
        <v>76</v>
      </c>
      <c r="N4" s="5">
        <v>49</v>
      </c>
      <c r="O4" s="5">
        <v>6</v>
      </c>
      <c r="P4" s="5">
        <v>0</v>
      </c>
      <c r="Q4" s="5">
        <v>2</v>
      </c>
      <c r="R4" s="5">
        <v>6</v>
      </c>
      <c r="S4" s="5">
        <v>0</v>
      </c>
      <c r="T4" s="5">
        <v>0</v>
      </c>
      <c r="U4" s="5">
        <v>1</v>
      </c>
      <c r="V4" s="5">
        <v>40</v>
      </c>
      <c r="W4" s="5">
        <v>1</v>
      </c>
      <c r="X4" s="5">
        <v>6</v>
      </c>
      <c r="Y4" s="5">
        <v>160</v>
      </c>
      <c r="Z4" s="5">
        <v>56</v>
      </c>
      <c r="AA4" s="5">
        <v>198</v>
      </c>
      <c r="AB4" s="5">
        <v>45</v>
      </c>
      <c r="AC4" s="5">
        <v>35</v>
      </c>
      <c r="AD4" s="5">
        <v>55</v>
      </c>
      <c r="AE4" s="5">
        <v>2</v>
      </c>
      <c r="AF4" s="5">
        <v>61</v>
      </c>
      <c r="AG4" s="5">
        <v>199</v>
      </c>
    </row>
    <row r="5" spans="1:33" s="5" customFormat="1" x14ac:dyDescent="0.25">
      <c r="A5" s="3">
        <v>2022</v>
      </c>
      <c r="B5" s="5">
        <v>866</v>
      </c>
      <c r="C5" s="5">
        <v>355</v>
      </c>
      <c r="D5" s="5">
        <v>226</v>
      </c>
      <c r="E5" s="5">
        <v>558</v>
      </c>
      <c r="F5" s="5">
        <v>561</v>
      </c>
      <c r="G5" s="5">
        <v>149</v>
      </c>
      <c r="H5" s="5">
        <v>257</v>
      </c>
      <c r="I5" s="5">
        <v>153</v>
      </c>
      <c r="J5" s="5">
        <v>37</v>
      </c>
      <c r="K5" s="5">
        <v>149</v>
      </c>
      <c r="L5" s="5">
        <v>84</v>
      </c>
      <c r="M5" s="5">
        <v>97</v>
      </c>
      <c r="N5" s="5">
        <v>83</v>
      </c>
      <c r="O5" s="5">
        <v>15</v>
      </c>
      <c r="P5" s="5">
        <v>5</v>
      </c>
      <c r="Q5" s="5">
        <v>5</v>
      </c>
      <c r="R5" s="5">
        <v>12</v>
      </c>
      <c r="S5" s="5">
        <v>0</v>
      </c>
      <c r="T5" s="5">
        <v>1</v>
      </c>
      <c r="U5" s="5">
        <v>2</v>
      </c>
      <c r="V5" s="5">
        <v>42</v>
      </c>
      <c r="W5" s="5">
        <v>3</v>
      </c>
      <c r="X5" s="5">
        <v>8</v>
      </c>
      <c r="Y5" s="5">
        <v>220</v>
      </c>
      <c r="Z5" s="5">
        <v>90</v>
      </c>
      <c r="AA5" s="5">
        <v>259</v>
      </c>
      <c r="AB5" s="5">
        <v>57</v>
      </c>
      <c r="AC5" s="5">
        <v>50</v>
      </c>
      <c r="AD5" s="5">
        <v>69</v>
      </c>
      <c r="AE5" s="5">
        <v>4</v>
      </c>
      <c r="AF5" s="5">
        <v>88</v>
      </c>
      <c r="AG5" s="5">
        <v>220</v>
      </c>
    </row>
    <row r="6" spans="1:33" s="5" customFormat="1" x14ac:dyDescent="0.25">
      <c r="A6" s="3">
        <v>2023</v>
      </c>
      <c r="B6" s="5">
        <v>920</v>
      </c>
      <c r="C6" s="5">
        <v>427</v>
      </c>
      <c r="D6" s="5">
        <v>289</v>
      </c>
      <c r="E6" s="5">
        <v>555</v>
      </c>
      <c r="F6" s="5">
        <v>632</v>
      </c>
      <c r="G6" s="5">
        <v>152</v>
      </c>
      <c r="H6" s="5">
        <v>291</v>
      </c>
      <c r="I6" s="5">
        <v>138</v>
      </c>
      <c r="J6" s="5">
        <v>27</v>
      </c>
      <c r="K6" s="5">
        <v>149</v>
      </c>
      <c r="L6" s="5">
        <v>92</v>
      </c>
      <c r="M6" s="5">
        <v>137</v>
      </c>
      <c r="N6" s="5">
        <v>86</v>
      </c>
      <c r="O6" s="5">
        <v>8</v>
      </c>
      <c r="P6" s="5">
        <v>2</v>
      </c>
      <c r="Q6" s="5">
        <v>7</v>
      </c>
      <c r="R6" s="5">
        <v>7</v>
      </c>
      <c r="S6" s="5">
        <v>0</v>
      </c>
      <c r="T6" s="5">
        <v>1</v>
      </c>
      <c r="U6" s="5">
        <v>0</v>
      </c>
      <c r="V6" s="5">
        <v>56</v>
      </c>
      <c r="W6" s="5">
        <v>2</v>
      </c>
      <c r="X6" s="5">
        <v>9</v>
      </c>
      <c r="Y6" s="5">
        <v>189</v>
      </c>
      <c r="Z6" s="5">
        <v>82</v>
      </c>
      <c r="AA6" s="5">
        <v>245</v>
      </c>
      <c r="AB6" s="5">
        <v>68</v>
      </c>
      <c r="AC6" s="5">
        <v>51</v>
      </c>
      <c r="AD6" s="5">
        <v>78</v>
      </c>
      <c r="AE6" s="5">
        <v>4</v>
      </c>
      <c r="AF6" s="5">
        <v>125</v>
      </c>
      <c r="AG6" s="5">
        <v>233</v>
      </c>
    </row>
    <row r="7" spans="1:33" s="5" customFormat="1" x14ac:dyDescent="0.25">
      <c r="A7" s="3">
        <v>2024</v>
      </c>
      <c r="B7" s="5">
        <v>675</v>
      </c>
      <c r="C7" s="5">
        <v>361</v>
      </c>
      <c r="D7" s="5">
        <v>217</v>
      </c>
      <c r="E7" s="5">
        <v>494</v>
      </c>
      <c r="F7" s="5">
        <v>515</v>
      </c>
      <c r="G7" s="5">
        <v>148</v>
      </c>
      <c r="H7" s="5">
        <v>217</v>
      </c>
      <c r="I7" s="5">
        <v>131</v>
      </c>
      <c r="J7" s="5">
        <v>40</v>
      </c>
      <c r="K7" s="5">
        <v>123</v>
      </c>
      <c r="L7" s="5">
        <v>91</v>
      </c>
      <c r="M7" s="5">
        <v>107</v>
      </c>
      <c r="N7" s="5">
        <v>64</v>
      </c>
      <c r="O7" s="5">
        <v>1</v>
      </c>
      <c r="P7" s="5">
        <v>0</v>
      </c>
      <c r="Q7" s="5">
        <v>3</v>
      </c>
      <c r="R7" s="5">
        <v>8</v>
      </c>
      <c r="S7" s="5">
        <v>0</v>
      </c>
      <c r="T7" s="5">
        <v>0</v>
      </c>
      <c r="U7" s="5">
        <v>1</v>
      </c>
      <c r="V7" s="5">
        <v>41</v>
      </c>
      <c r="W7" s="5">
        <v>8</v>
      </c>
      <c r="X7" s="5">
        <v>7</v>
      </c>
      <c r="Y7" s="5">
        <v>147</v>
      </c>
      <c r="Z7" s="5">
        <v>75</v>
      </c>
      <c r="AA7" s="5">
        <v>205</v>
      </c>
      <c r="AB7" s="5">
        <v>63</v>
      </c>
      <c r="AC7" s="5">
        <v>47</v>
      </c>
      <c r="AD7" s="5">
        <v>63</v>
      </c>
      <c r="AE7" s="5">
        <v>5</v>
      </c>
      <c r="AF7" s="5">
        <v>82</v>
      </c>
      <c r="AG7" s="5">
        <v>197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7"/>
  <sheetViews>
    <sheetView workbookViewId="0">
      <selection activeCell="A8" sqref="A8:XFD8"/>
    </sheetView>
  </sheetViews>
  <sheetFormatPr defaultRowHeight="15" x14ac:dyDescent="0.25"/>
  <cols>
    <col min="2" max="2" width="16" customWidth="1"/>
    <col min="4" max="4" width="10.42578125" customWidth="1"/>
    <col min="5" max="5" width="14.7109375" customWidth="1"/>
    <col min="6" max="6" width="12" customWidth="1"/>
    <col min="7" max="7" width="11.140625" customWidth="1"/>
    <col min="8" max="8" width="10.28515625" customWidth="1"/>
    <col min="9" max="9" width="13.28515625" customWidth="1"/>
    <col min="10" max="10" width="17.42578125" customWidth="1"/>
    <col min="13" max="13" width="12.42578125" customWidth="1"/>
    <col min="16" max="16" width="12" customWidth="1"/>
    <col min="17" max="17" width="10.42578125" customWidth="1"/>
  </cols>
  <sheetData>
    <row r="1" spans="1:17" s="4" customFormat="1" ht="60" x14ac:dyDescent="0.25">
      <c r="A1" s="2" t="s">
        <v>56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  <c r="H1" s="2" t="s">
        <v>38</v>
      </c>
      <c r="I1" s="2" t="s">
        <v>39</v>
      </c>
      <c r="J1" s="2" t="s">
        <v>40</v>
      </c>
      <c r="K1" s="2" t="s">
        <v>41</v>
      </c>
      <c r="L1" s="2" t="s">
        <v>42</v>
      </c>
      <c r="M1" s="2" t="s">
        <v>43</v>
      </c>
      <c r="N1" s="2" t="s">
        <v>44</v>
      </c>
      <c r="O1" s="2" t="s">
        <v>45</v>
      </c>
      <c r="P1" s="2" t="s">
        <v>46</v>
      </c>
      <c r="Q1" s="2" t="s">
        <v>47</v>
      </c>
    </row>
    <row r="2" spans="1:17" s="5" customFormat="1" x14ac:dyDescent="0.25">
      <c r="A2" s="3">
        <v>2019</v>
      </c>
      <c r="B2" s="5">
        <v>169</v>
      </c>
      <c r="C2" s="5">
        <v>240</v>
      </c>
      <c r="D2" s="5">
        <v>104</v>
      </c>
      <c r="E2" s="5">
        <v>404</v>
      </c>
      <c r="F2" s="5">
        <v>26</v>
      </c>
      <c r="G2" s="5">
        <v>42</v>
      </c>
      <c r="H2" s="5">
        <v>127</v>
      </c>
      <c r="I2" s="5">
        <v>18</v>
      </c>
      <c r="J2" s="5">
        <v>15</v>
      </c>
      <c r="K2" s="5">
        <v>2</v>
      </c>
      <c r="L2" s="5">
        <v>2</v>
      </c>
      <c r="M2" s="5">
        <v>41</v>
      </c>
      <c r="N2" s="5">
        <v>19</v>
      </c>
      <c r="O2" s="5">
        <v>137</v>
      </c>
      <c r="P2" s="5">
        <v>76</v>
      </c>
      <c r="Q2" s="5">
        <v>84</v>
      </c>
    </row>
    <row r="3" spans="1:17" s="5" customFormat="1" x14ac:dyDescent="0.25">
      <c r="A3" s="3">
        <v>2020</v>
      </c>
      <c r="B3" s="5">
        <v>265</v>
      </c>
      <c r="C3" s="5">
        <v>360</v>
      </c>
      <c r="D3" s="5">
        <v>138</v>
      </c>
      <c r="E3" s="5">
        <v>687</v>
      </c>
      <c r="F3" s="5">
        <v>50</v>
      </c>
      <c r="G3" s="5">
        <v>76</v>
      </c>
      <c r="H3" s="5">
        <v>221</v>
      </c>
      <c r="I3" s="5">
        <v>35</v>
      </c>
      <c r="J3" s="5">
        <v>12</v>
      </c>
      <c r="K3" s="5">
        <v>4</v>
      </c>
      <c r="L3" s="5">
        <v>6</v>
      </c>
      <c r="M3" s="5">
        <v>65</v>
      </c>
      <c r="N3" s="5">
        <v>50</v>
      </c>
      <c r="O3" s="5">
        <v>194</v>
      </c>
      <c r="P3" s="5">
        <v>140</v>
      </c>
      <c r="Q3" s="5">
        <v>137</v>
      </c>
    </row>
    <row r="4" spans="1:17" s="5" customFormat="1" x14ac:dyDescent="0.25">
      <c r="A4" s="3">
        <v>2021</v>
      </c>
      <c r="B4" s="5">
        <v>432</v>
      </c>
      <c r="C4" s="5">
        <v>581</v>
      </c>
      <c r="D4" s="5">
        <v>222</v>
      </c>
      <c r="E4" s="5">
        <v>921</v>
      </c>
      <c r="F4" s="5">
        <v>84</v>
      </c>
      <c r="G4" s="5">
        <v>107</v>
      </c>
      <c r="H4" s="5">
        <v>324</v>
      </c>
      <c r="I4" s="5">
        <v>40</v>
      </c>
      <c r="J4" s="5">
        <v>17</v>
      </c>
      <c r="K4" s="5">
        <v>10</v>
      </c>
      <c r="L4" s="5">
        <v>4</v>
      </c>
      <c r="M4" s="5">
        <v>90</v>
      </c>
      <c r="N4" s="5">
        <v>81</v>
      </c>
      <c r="O4" s="5">
        <v>397</v>
      </c>
      <c r="P4" s="5">
        <v>180</v>
      </c>
      <c r="Q4" s="5">
        <v>206</v>
      </c>
    </row>
    <row r="5" spans="1:17" s="5" customFormat="1" x14ac:dyDescent="0.25">
      <c r="A5" s="3">
        <v>2022</v>
      </c>
      <c r="B5" s="5">
        <v>610</v>
      </c>
      <c r="C5" s="5">
        <v>760</v>
      </c>
      <c r="D5" s="5">
        <v>335</v>
      </c>
      <c r="E5" s="5">
        <v>1281</v>
      </c>
      <c r="F5" s="5">
        <v>161</v>
      </c>
      <c r="G5" s="5">
        <v>118</v>
      </c>
      <c r="H5" s="5">
        <v>432</v>
      </c>
      <c r="I5" s="5">
        <v>37</v>
      </c>
      <c r="J5" s="5">
        <v>22</v>
      </c>
      <c r="K5" s="5">
        <v>4</v>
      </c>
      <c r="L5" s="5">
        <v>3</v>
      </c>
      <c r="M5" s="5">
        <v>100</v>
      </c>
      <c r="N5" s="5">
        <v>129</v>
      </c>
      <c r="O5" s="5">
        <v>561</v>
      </c>
      <c r="P5" s="5">
        <v>276</v>
      </c>
      <c r="Q5" s="5">
        <v>319</v>
      </c>
    </row>
    <row r="6" spans="1:17" s="5" customFormat="1" x14ac:dyDescent="0.25">
      <c r="A6" s="3">
        <v>2023</v>
      </c>
      <c r="B6" s="5">
        <v>625</v>
      </c>
      <c r="C6" s="5">
        <v>844</v>
      </c>
      <c r="D6" s="5">
        <v>332</v>
      </c>
      <c r="E6" s="5">
        <v>1323</v>
      </c>
      <c r="F6" s="5">
        <v>212</v>
      </c>
      <c r="G6" s="5">
        <v>178</v>
      </c>
      <c r="H6" s="5">
        <v>442</v>
      </c>
      <c r="I6" s="5">
        <v>51</v>
      </c>
      <c r="J6" s="5">
        <v>23</v>
      </c>
      <c r="K6" s="5">
        <v>4</v>
      </c>
      <c r="L6" s="5">
        <v>4</v>
      </c>
      <c r="M6" s="5">
        <v>115</v>
      </c>
      <c r="N6" s="5">
        <v>158</v>
      </c>
      <c r="O6" s="5">
        <v>652</v>
      </c>
      <c r="P6" s="5">
        <v>295</v>
      </c>
      <c r="Q6" s="5">
        <v>349</v>
      </c>
    </row>
    <row r="7" spans="1:17" s="5" customFormat="1" x14ac:dyDescent="0.25">
      <c r="A7" s="3">
        <v>2024</v>
      </c>
      <c r="B7" s="5">
        <v>560</v>
      </c>
      <c r="C7" s="5">
        <v>807</v>
      </c>
      <c r="D7" s="5">
        <v>281</v>
      </c>
      <c r="E7" s="5">
        <v>1004</v>
      </c>
      <c r="F7" s="5">
        <v>207</v>
      </c>
      <c r="G7" s="5">
        <v>140</v>
      </c>
      <c r="H7" s="5">
        <v>343</v>
      </c>
      <c r="I7" s="5">
        <v>41</v>
      </c>
      <c r="J7" s="5">
        <v>25</v>
      </c>
      <c r="K7" s="5">
        <v>4</v>
      </c>
      <c r="L7" s="5">
        <v>7</v>
      </c>
      <c r="M7" s="5">
        <v>115</v>
      </c>
      <c r="N7" s="5">
        <v>117</v>
      </c>
      <c r="O7" s="5">
        <v>604</v>
      </c>
      <c r="P7" s="5">
        <v>258</v>
      </c>
      <c r="Q7" s="5">
        <v>279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7"/>
  <sheetViews>
    <sheetView workbookViewId="0">
      <selection activeCell="D11" sqref="D11"/>
    </sheetView>
  </sheetViews>
  <sheetFormatPr defaultRowHeight="15" x14ac:dyDescent="0.25"/>
  <cols>
    <col min="1" max="1" width="24.85546875" customWidth="1"/>
    <col min="2" max="2" width="28.7109375" customWidth="1"/>
    <col min="3" max="3" width="24.7109375" customWidth="1"/>
    <col min="4" max="4" width="31.85546875" customWidth="1"/>
    <col min="5" max="5" width="28.28515625" customWidth="1"/>
    <col min="6" max="6" width="25.85546875" customWidth="1"/>
    <col min="7" max="7" width="24.42578125" customWidth="1"/>
  </cols>
  <sheetData>
    <row r="1" spans="1:7" x14ac:dyDescent="0.25">
      <c r="A1" s="1" t="s">
        <v>56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50</v>
      </c>
    </row>
    <row r="2" spans="1:7" x14ac:dyDescent="0.25">
      <c r="A2" s="1">
        <v>2019</v>
      </c>
      <c r="B2" s="6">
        <v>408</v>
      </c>
      <c r="C2" s="6">
        <v>286</v>
      </c>
      <c r="D2" s="6">
        <v>244</v>
      </c>
      <c r="E2" s="6">
        <v>126</v>
      </c>
      <c r="F2" s="6">
        <v>42</v>
      </c>
      <c r="G2" s="6">
        <v>883</v>
      </c>
    </row>
    <row r="3" spans="1:7" x14ac:dyDescent="0.25">
      <c r="A3" s="1">
        <v>2020</v>
      </c>
      <c r="B3" s="6">
        <v>693</v>
      </c>
      <c r="C3" s="6">
        <v>493</v>
      </c>
      <c r="D3" s="6">
        <v>401</v>
      </c>
      <c r="E3" s="6">
        <v>153</v>
      </c>
      <c r="F3" s="6">
        <v>47</v>
      </c>
      <c r="G3" s="6">
        <v>1297</v>
      </c>
    </row>
    <row r="4" spans="1:7" x14ac:dyDescent="0.25">
      <c r="A4" s="1">
        <v>2021</v>
      </c>
      <c r="B4" s="6">
        <v>1052</v>
      </c>
      <c r="C4" s="6">
        <v>719</v>
      </c>
      <c r="D4" s="6">
        <v>572</v>
      </c>
      <c r="E4" s="6">
        <v>275</v>
      </c>
      <c r="F4" s="6">
        <v>58</v>
      </c>
      <c r="G4" s="6">
        <v>1551</v>
      </c>
    </row>
    <row r="5" spans="1:7" x14ac:dyDescent="0.25">
      <c r="A5" s="1">
        <v>2022</v>
      </c>
      <c r="B5" s="6">
        <v>1471</v>
      </c>
      <c r="C5" s="6">
        <v>1009</v>
      </c>
      <c r="D5" s="6">
        <v>780</v>
      </c>
      <c r="E5" s="6">
        <v>291</v>
      </c>
      <c r="F5" s="6">
        <v>80</v>
      </c>
      <c r="G5" s="6">
        <v>2069</v>
      </c>
    </row>
    <row r="6" spans="1:7" x14ac:dyDescent="0.25">
      <c r="A6" s="1">
        <v>2023</v>
      </c>
      <c r="B6" s="6">
        <v>1605</v>
      </c>
      <c r="C6" s="6">
        <v>1022</v>
      </c>
      <c r="D6" s="6">
        <v>843</v>
      </c>
      <c r="E6" s="6">
        <v>330</v>
      </c>
      <c r="F6" s="6">
        <v>81</v>
      </c>
      <c r="G6" s="6">
        <v>2228</v>
      </c>
    </row>
    <row r="7" spans="1:7" x14ac:dyDescent="0.25">
      <c r="A7" s="1">
        <v>2024</v>
      </c>
      <c r="B7" s="6">
        <v>1347</v>
      </c>
      <c r="C7" s="6">
        <v>790</v>
      </c>
      <c r="D7" s="6">
        <v>698</v>
      </c>
      <c r="E7" s="6">
        <v>310</v>
      </c>
      <c r="F7" s="6">
        <v>59</v>
      </c>
      <c r="G7" s="6">
        <v>1850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Cancer Type Distribution</vt:lpstr>
      <vt:lpstr>Cancer Types Frequency</vt:lpstr>
      <vt:lpstr>AI Models Frequency</vt:lpstr>
      <vt:lpstr>Accuracy Categories</vt:lpstr>
      <vt:lpstr>Cancer Types by Year</vt:lpstr>
      <vt:lpstr>AI Models by Year</vt:lpstr>
      <vt:lpstr>Accuracy by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Владелец</cp:lastModifiedBy>
  <dcterms:created xsi:type="dcterms:W3CDTF">2024-10-16T19:07:34Z</dcterms:created>
  <dcterms:modified xsi:type="dcterms:W3CDTF">2024-10-16T19:44:12Z</dcterms:modified>
</cp:coreProperties>
</file>