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Владелец\.vscode\oncotagger\wos_oncoarticleclassifier\"/>
    </mc:Choice>
  </mc:AlternateContent>
  <xr:revisionPtr revIDLastSave="0" documentId="13_ncr:1_{F90ED51F-871E-4557-B065-8BBC8C12683B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ancer Types Frequency" sheetId="1" r:id="rId1"/>
    <sheet name="Cancer Type Distribution" sheetId="7" r:id="rId2"/>
    <sheet name="AI Models Frequency" sheetId="2" r:id="rId3"/>
    <sheet name="Accuracy Categories" sheetId="3" r:id="rId4"/>
    <sheet name="Cancer Types by Year" sheetId="4" r:id="rId5"/>
    <sheet name="AI Models by Year" sheetId="5" r:id="rId6"/>
    <sheet name="Accuracy by Year" sheetId="6" r:id="rId7"/>
  </sheets>
  <definedNames>
    <definedName name="_xlnm._FilterDatabase" localSheetId="2" hidden="1">'AI Models Frequency'!$A$1:$B$1</definedName>
    <definedName name="_xlnm._FilterDatabase" localSheetId="1" hidden="1">'Cancer Type Distribution'!$A$1:$B$1</definedName>
    <definedName name="_xlnm._FilterDatabase" localSheetId="0" hidden="1">'Cancer Types Frequency'!$A$1:$B$1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" l="1"/>
  <c r="C2" i="2"/>
  <c r="C35" i="7"/>
  <c r="D34" i="1"/>
  <c r="C19" i="2"/>
</calcChain>
</file>

<file path=xl/sharedStrings.xml><?xml version="1.0" encoding="utf-8"?>
<sst xmlns="http://schemas.openxmlformats.org/spreadsheetml/2006/main" count="154" uniqueCount="84">
  <si>
    <t>breast cancer</t>
  </si>
  <si>
    <t>colorectal cancer</t>
  </si>
  <si>
    <t>prostate cancer</t>
  </si>
  <si>
    <t>lung cancer</t>
  </si>
  <si>
    <t>brain cancer</t>
  </si>
  <si>
    <t>cervical cancer</t>
  </si>
  <si>
    <t>liver cancer</t>
  </si>
  <si>
    <t>stomach cancer</t>
  </si>
  <si>
    <t>endometrial cancer</t>
  </si>
  <si>
    <t>skin cancer</t>
  </si>
  <si>
    <t>ovarian cancer</t>
  </si>
  <si>
    <t>head and neck cancer</t>
  </si>
  <si>
    <t>renal cancer</t>
  </si>
  <si>
    <t>mesothelioma</t>
  </si>
  <si>
    <t>parathyroid cancer</t>
  </si>
  <si>
    <t>gallbladder cancer</t>
  </si>
  <si>
    <t>occult primary cancer</t>
  </si>
  <si>
    <t>vaginal cancer</t>
  </si>
  <si>
    <t>vulvar cancer</t>
  </si>
  <si>
    <t>penile cancer</t>
  </si>
  <si>
    <t>neuroendocrine tumors</t>
  </si>
  <si>
    <t>mediastinal tumors</t>
  </si>
  <si>
    <t>bone cancers</t>
  </si>
  <si>
    <t>melanoma</t>
  </si>
  <si>
    <t>sarcoma</t>
  </si>
  <si>
    <t>oncohematologic malignancies</t>
  </si>
  <si>
    <t>bladder cancer</t>
  </si>
  <si>
    <t>esophageal cancer</t>
  </si>
  <si>
    <t>thyroid cancer</t>
  </si>
  <si>
    <t>testicular cancer</t>
  </si>
  <si>
    <t>pancreatic cancer</t>
  </si>
  <si>
    <t>various cancers</t>
  </si>
  <si>
    <t>Linear/Logistic Regression</t>
  </si>
  <si>
    <t>Decision Trees / Random Forests</t>
  </si>
  <si>
    <t>Support Vector Machines (SVM)</t>
  </si>
  <si>
    <t>Convolutional Neural Networks (CNN)</t>
  </si>
  <si>
    <t>Recurrent Neural Networks (RNN/LSTM)</t>
  </si>
  <si>
    <t>Generative Adversarial Networks (GANs)</t>
  </si>
  <si>
    <t>Artificial Neural Networks (ANN)</t>
  </si>
  <si>
    <t>Text Classification</t>
  </si>
  <si>
    <t>Recommendation Systems</t>
  </si>
  <si>
    <t>Genomic Models</t>
  </si>
  <si>
    <t>Clinical Decision Support Systems</t>
  </si>
  <si>
    <t>Autoencoder</t>
  </si>
  <si>
    <t>U-Net Models</t>
  </si>
  <si>
    <t>Gradient Boosting Models</t>
  </si>
  <si>
    <t>Information Extraction</t>
  </si>
  <si>
    <t>Ensemble</t>
  </si>
  <si>
    <t>count</t>
  </si>
  <si>
    <t>Accuracy_Category</t>
  </si>
  <si>
    <t>Unknown</t>
  </si>
  <si>
    <t>Very high accuracy (≥ 95%)</t>
  </si>
  <si>
    <t>High accuracy (90% - 94.9%)</t>
  </si>
  <si>
    <t>Medium accuracy (80% - 89.9%)</t>
  </si>
  <si>
    <t>Low accuracy (70% - 79.9%)</t>
  </si>
  <si>
    <t>Very low accuracy (&lt; 70%)</t>
  </si>
  <si>
    <t>Publication Year</t>
  </si>
  <si>
    <t>how_many_cancer_studied</t>
  </si>
  <si>
    <t>not specified</t>
  </si>
  <si>
    <t>just one cancer - skin cancer</t>
  </si>
  <si>
    <t>just one cancer - endometrial cancer</t>
  </si>
  <si>
    <t>just one cancer - occult primary cancer</t>
  </si>
  <si>
    <t>just one cancer - gallbladder cancer</t>
  </si>
  <si>
    <t>just one cancer - mediastinal tumors</t>
  </si>
  <si>
    <t>just one cancer - mesothelioma</t>
  </si>
  <si>
    <t>just one cancer - bone cancers</t>
  </si>
  <si>
    <t>just one cancer - testicular cancer</t>
  </si>
  <si>
    <t>just one cancer - parathyroid cancer</t>
  </si>
  <si>
    <t>just one cancer - penile cancer</t>
  </si>
  <si>
    <t>just one cancer - vulvar cancer</t>
  </si>
  <si>
    <t>AI models</t>
  </si>
  <si>
    <t>summ</t>
  </si>
  <si>
    <t>cancer type</t>
  </si>
  <si>
    <t xml:space="preserve"> liver cancer</t>
  </si>
  <si>
    <t xml:space="preserve"> stomach cancer</t>
  </si>
  <si>
    <t xml:space="preserve"> cervical cancer</t>
  </si>
  <si>
    <t xml:space="preserve"> pancreatic cancer</t>
  </si>
  <si>
    <t xml:space="preserve"> renal cancer</t>
  </si>
  <si>
    <t xml:space="preserve"> thyroid cancer</t>
  </si>
  <si>
    <t xml:space="preserve"> bladder cancer</t>
  </si>
  <si>
    <t xml:space="preserve"> sarcoma</t>
  </si>
  <si>
    <t xml:space="preserve"> neuroendocrine tumors</t>
  </si>
  <si>
    <t>articles count</t>
  </si>
  <si>
    <t>rate^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</si>
</sst>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1" fillId="0" borderId="0" xfId="0" applyFont="1" applyFill="1" applyBorder="1" applyAlignment="1">
      <alignment horizontal="center" vertical="top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cancer types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'Cancer Types Frequency'!$B$1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6BF2-42AB-9BC4-C86EC37AD8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dLbl>
              <c:idx val="7"/>
              <c:layout>
                <c:manualLayout>
                  <c:x val="0.15573499689350426"/>
                  <c:y val="8.30902561162724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2-42AB-9BC4-C86EC37AD8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'Cancer Types Frequency'!$A$2:$A$33</c15:sqref>
                  </c15:fullRef>
                </c:ext>
              </c:extLst>
              <c:f>'Cancer Types Frequency'!$A$2:$A$13</c:f>
              <c:strCache>
                <c:ptCount val="12"/>
                <c:pt idx="0">
                  <c:v>breast cancer</c:v>
                </c:pt>
                <c:pt idx="1">
                  <c:v>lung cancer</c:v>
                </c:pt>
                <c:pt idx="2">
                  <c:v>brain cancer</c:v>
                </c:pt>
                <c:pt idx="3">
                  <c:v>colorectal cancer</c:v>
                </c:pt>
                <c:pt idx="4">
                  <c:v>various cancers</c:v>
                </c:pt>
                <c:pt idx="5">
                  <c:v>prostate cancer</c:v>
                </c:pt>
                <c:pt idx="6">
                  <c:v>liver cancer</c:v>
                </c:pt>
                <c:pt idx="7">
                  <c:v>oncohematologic malignancies</c:v>
                </c:pt>
                <c:pt idx="8">
                  <c:v>melanoma</c:v>
                </c:pt>
                <c:pt idx="9">
                  <c:v>cervical cancer</c:v>
                </c:pt>
                <c:pt idx="10">
                  <c:v>stomach cancer</c:v>
                </c:pt>
                <c:pt idx="11">
                  <c:v>head and neck cancer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'Cancer Types Frequency'!$B$2:$B$33</c15:sqref>
                  </c15:fullRef>
                </c:ext>
              </c:extLst>
              <c:f>'Cancer Types Frequency'!$B$2:$B$13</c:f>
              <c:numCache>
                <c:formatCode>General</c:formatCode>
                <c:ptCount val="12"/>
                <c:pt idx="0">
                  <c:v>2204</c:v>
                </c:pt>
                <c:pt idx="1">
                  <c:v>1591</c:v>
                </c:pt>
                <c:pt idx="2">
                  <c:v>1467</c:v>
                </c:pt>
                <c:pt idx="3">
                  <c:v>1045</c:v>
                </c:pt>
                <c:pt idx="4">
                  <c:v>938</c:v>
                </c:pt>
                <c:pt idx="5">
                  <c:v>815</c:v>
                </c:pt>
                <c:pt idx="6">
                  <c:v>661</c:v>
                </c:pt>
                <c:pt idx="7">
                  <c:v>520</c:v>
                </c:pt>
                <c:pt idx="8">
                  <c:v>410</c:v>
                </c:pt>
                <c:pt idx="9">
                  <c:v>403</c:v>
                </c:pt>
                <c:pt idx="10">
                  <c:v>381</c:v>
                </c:pt>
                <c:pt idx="11">
                  <c:v>374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6BF2-42AB-9BC4-C86EC37AD83F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Cancer types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'Cancer Type Distribution'!$A$3:$A$33</c15:sqref>
                  </c15:fullRef>
                </c:ext>
              </c:extLst>
              <c:f>'Cancer Type Distribution'!$A$3:$A$16</c:f>
              <c:strCache>
                <c:ptCount val="14"/>
                <c:pt idx="0">
                  <c:v>various cancers</c:v>
                </c:pt>
                <c:pt idx="1">
                  <c:v>breast cancer</c:v>
                </c:pt>
                <c:pt idx="2">
                  <c:v>lung cancer</c:v>
                </c:pt>
                <c:pt idx="3">
                  <c:v>brain cancer</c:v>
                </c:pt>
                <c:pt idx="4">
                  <c:v>colorectal cancer</c:v>
                </c:pt>
                <c:pt idx="5">
                  <c:v>prostate cancer</c:v>
                </c:pt>
                <c:pt idx="6">
                  <c:v> liver cancer</c:v>
                </c:pt>
                <c:pt idx="7">
                  <c:v>oncohematologic malignancies</c:v>
                </c:pt>
                <c:pt idx="8">
                  <c:v>head and neck cancer</c:v>
                </c:pt>
                <c:pt idx="9">
                  <c:v> stomach cancer</c:v>
                </c:pt>
                <c:pt idx="10">
                  <c:v> cervical cancer</c:v>
                </c:pt>
                <c:pt idx="11">
                  <c:v> pancreatic cancer</c:v>
                </c:pt>
                <c:pt idx="12">
                  <c:v>ovarian cancer</c:v>
                </c:pt>
                <c:pt idx="13">
                  <c:v> renal cancer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'Cancer Type Distribution'!$B$3:$B$33</c15:sqref>
                  </c15:fullRef>
                </c:ext>
              </c:extLst>
              <c:f>'Cancer Type Distribution'!$B$3:$B$16</c:f>
              <c:numCache>
                <c:formatCode>General</c:formatCode>
                <c:ptCount val="14"/>
                <c:pt idx="0">
                  <c:v>1999</c:v>
                </c:pt>
                <c:pt idx="1">
                  <c:v>1891</c:v>
                </c:pt>
                <c:pt idx="2">
                  <c:v>1278</c:v>
                </c:pt>
                <c:pt idx="3">
                  <c:v>1234</c:v>
                </c:pt>
                <c:pt idx="4">
                  <c:v>691</c:v>
                </c:pt>
                <c:pt idx="5">
                  <c:v>620</c:v>
                </c:pt>
                <c:pt idx="6">
                  <c:v>530</c:v>
                </c:pt>
                <c:pt idx="7">
                  <c:v>342</c:v>
                </c:pt>
                <c:pt idx="8">
                  <c:v>296</c:v>
                </c:pt>
                <c:pt idx="9">
                  <c:v>280</c:v>
                </c:pt>
                <c:pt idx="10">
                  <c:v>258</c:v>
                </c:pt>
                <c:pt idx="11">
                  <c:v>204</c:v>
                </c:pt>
                <c:pt idx="12">
                  <c:v>184</c:v>
                </c:pt>
                <c:pt idx="13">
                  <c:v>160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023A-420B-A8C7-2FDCE57763C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 models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'AI Models Frequency'!$B$1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'AI Models Frequency'!$A$2:$A$17</c:f>
              <c:strCache>
                <c:ptCount val="16"/>
                <c:pt idx="0">
                  <c:v>Convolutional Neural Networks (CNN)</c:v>
                </c:pt>
                <c:pt idx="1">
                  <c:v>Decision Trees / Random Forests</c:v>
                </c:pt>
                <c:pt idx="2">
                  <c:v>Gradient Boosting Models</c:v>
                </c:pt>
                <c:pt idx="3">
                  <c:v>Linear/Logistic Regression</c:v>
                </c:pt>
                <c:pt idx="4">
                  <c:v>Artificial Neural Networks (ANN)</c:v>
                </c:pt>
                <c:pt idx="5">
                  <c:v>Support Vector Machines (SVM)</c:v>
                </c:pt>
                <c:pt idx="6">
                  <c:v>Ensemble</c:v>
                </c:pt>
                <c:pt idx="7">
                  <c:v>Information Extraction</c:v>
                </c:pt>
                <c:pt idx="8">
                  <c:v>Generative Adversarial Networks (GANs)</c:v>
                </c:pt>
                <c:pt idx="9">
                  <c:v>Recurrent Neural Networks (RNN/LSTM)</c:v>
                </c:pt>
                <c:pt idx="10">
                  <c:v>U-Net Models</c:v>
                </c:pt>
                <c:pt idx="11">
                  <c:v>Autoencoder</c:v>
                </c:pt>
                <c:pt idx="12">
                  <c:v>Text Classification</c:v>
                </c:pt>
                <c:pt idx="13">
                  <c:v>Recommendation Systems</c:v>
                </c:pt>
                <c:pt idx="14">
                  <c:v>Genomic Models</c:v>
                </c:pt>
                <c:pt idx="15">
                  <c:v>Clinical Decision Support Systems</c:v>
                </c:pt>
              </c:strCache>
            </c:strRef>
          </c:cat>
          <c:val>
            <c:numRef>
              <c:f>'AI Models Frequency'!$B$2:$B$17</c:f>
              <c:numCache>
                <c:formatCode>General</c:formatCode>
                <c:ptCount val="16"/>
                <c:pt idx="0">
                  <c:v>3397</c:v>
                </c:pt>
                <c:pt idx="1">
                  <c:v>2204</c:v>
                </c:pt>
                <c:pt idx="2">
                  <c:v>1747</c:v>
                </c:pt>
                <c:pt idx="3">
                  <c:v>1736</c:v>
                </c:pt>
                <c:pt idx="4">
                  <c:v>1238</c:v>
                </c:pt>
                <c:pt idx="5">
                  <c:v>876</c:v>
                </c:pt>
                <c:pt idx="6">
                  <c:v>744</c:v>
                </c:pt>
                <c:pt idx="7">
                  <c:v>743</c:v>
                </c:pt>
                <c:pt idx="8">
                  <c:v>388</c:v>
                </c:pt>
                <c:pt idx="9">
                  <c:v>387</c:v>
                </c:pt>
                <c:pt idx="10">
                  <c:v>364</c:v>
                </c:pt>
                <c:pt idx="11">
                  <c:v>275</c:v>
                </c:pt>
                <c:pt idx="12">
                  <c:v>91</c:v>
                </c:pt>
                <c:pt idx="13">
                  <c:v>52</c:v>
                </c:pt>
                <c:pt idx="14">
                  <c:v>16</c:v>
                </c:pt>
                <c:pt idx="1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F2-49E7-829C-CC7643F4F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5905007"/>
        <c:axId val="1175901263"/>
      </c:barChart>
      <c:catAx>
        <c:axId val="1175905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175901263"/>
        <c:crosses val="autoZero"/>
        <c:auto val="1"/>
        <c:lblAlgn val="ctr"/>
        <c:lblOffset val="100"/>
        <c:noMultiLvlLbl val="0"/>
      </c:catAx>
      <c:valAx>
        <c:axId val="117590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uk-UA"/>
          </a:p>
        </c:txPr>
        <c:crossAx val="1175905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uk-UA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'Accuracy Categories'!$A$3:$A$7</c:f>
              <c:strCache>
                <c:ptCount val="5"/>
                <c:pt idx="0">
                  <c:v>Very high accuracy (≥ 95%)</c:v>
                </c:pt>
                <c:pt idx="1">
                  <c:v>High accuracy (90% - 94.9%)</c:v>
                </c:pt>
                <c:pt idx="2">
                  <c:v>Medium accuracy (80% - 89.9%)</c:v>
                </c:pt>
                <c:pt idx="3">
                  <c:v>Low accuracy (70% - 79.9%)</c:v>
                </c:pt>
                <c:pt idx="4">
                  <c:v>Very low accuracy (&lt; 70%)</c:v>
                </c:pt>
              </c:strCache>
            </c:strRef>
          </c:cat>
          <c:val>
            <c:numRef>
              <c:f>'Accuracy Categories'!$B$3:$B$7</c:f>
              <c:numCache>
                <c:formatCode>General</c:formatCode>
                <c:ptCount val="5"/>
                <c:pt idx="0">
                  <c:v>3807</c:v>
                </c:pt>
                <c:pt idx="1">
                  <c:v>2490</c:v>
                </c:pt>
                <c:pt idx="2">
                  <c:v>2047</c:v>
                </c:pt>
                <c:pt idx="3">
                  <c:v>877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93-4AC5-8B04-AE67E7AEACF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uk-UA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uk-UA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76199</xdr:colOff>
      <xdr:row>0</xdr:row>
      <xdr:rowOff>47624</xdr:rowOff>
    </xdr:from>
    <xdr:to>
      <xdr:col>18</xdr:col>
      <xdr:colOff>180974</xdr:colOff>
      <xdr:row>23</xdr:row>
      <xdr:rowOff>114299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21D45804-23DA-41CF-9041-F987A40651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581025</xdr:colOff>
      <xdr:row>0</xdr:row>
      <xdr:rowOff>0</xdr:rowOff>
    </xdr:from>
    <xdr:to>
      <xdr:col>17</xdr:col>
      <xdr:colOff>76200</xdr:colOff>
      <xdr:row>27</xdr:row>
      <xdr:rowOff>57150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4F54756-7279-416C-B6F1-E950A2F221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333374</xdr:colOff>
      <xdr:row>0</xdr:row>
      <xdr:rowOff>104774</xdr:rowOff>
    </xdr:from>
    <xdr:to>
      <xdr:col>18</xdr:col>
      <xdr:colOff>95249</xdr:colOff>
      <xdr:row>21</xdr:row>
      <xdr:rowOff>19049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34A4500-5C53-4FB6-AE21-8E7B0511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0</xdr:row>
      <xdr:rowOff>104774</xdr:rowOff>
    </xdr:from>
    <xdr:to>
      <xdr:col>14</xdr:col>
      <xdr:colOff>295275</xdr:colOff>
      <xdr:row>21</xdr:row>
      <xdr:rowOff>38099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9B66D38-FBC9-4ECC-8CBD-C8984DF34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4"/>
  <sheetViews>
    <sheetView workbookViewId="0">
      <selection activeCell="U17" sqref="U17"/>
    </sheetView>
  </sheetViews>
  <sheetFormatPr defaultRowHeight="15" x14ac:dyDescent="0.25"/>
  <cols>
    <col min="1" max="1" width="30" customWidth="1"/>
  </cols>
  <sheetData>
    <row r="1" spans="1:2" x14ac:dyDescent="0.25">
      <c r="A1" s="2" t="s">
        <v>72</v>
      </c>
      <c r="B1" s="6" t="s">
        <v>48</v>
      </c>
    </row>
    <row r="2" spans="1:2" x14ac:dyDescent="0.25">
      <c r="A2" s="1" t="s">
        <v>0</v>
      </c>
      <c r="B2">
        <v>2204</v>
      </c>
    </row>
    <row r="3" spans="1:2" x14ac:dyDescent="0.25">
      <c r="A3" s="1" t="s">
        <v>3</v>
      </c>
      <c r="B3">
        <v>1591</v>
      </c>
    </row>
    <row r="4" spans="1:2" x14ac:dyDescent="0.25">
      <c r="A4" s="1" t="s">
        <v>4</v>
      </c>
      <c r="B4">
        <v>1467</v>
      </c>
    </row>
    <row r="5" spans="1:2" x14ac:dyDescent="0.25">
      <c r="A5" s="1" t="s">
        <v>1</v>
      </c>
      <c r="B5">
        <v>1045</v>
      </c>
    </row>
    <row r="6" spans="1:2" x14ac:dyDescent="0.25">
      <c r="A6" s="1" t="s">
        <v>31</v>
      </c>
      <c r="B6">
        <v>938</v>
      </c>
    </row>
    <row r="7" spans="1:2" x14ac:dyDescent="0.25">
      <c r="A7" s="1" t="s">
        <v>2</v>
      </c>
      <c r="B7">
        <v>815</v>
      </c>
    </row>
    <row r="8" spans="1:2" x14ac:dyDescent="0.25">
      <c r="A8" s="1" t="s">
        <v>6</v>
      </c>
      <c r="B8">
        <v>661</v>
      </c>
    </row>
    <row r="9" spans="1:2" x14ac:dyDescent="0.25">
      <c r="A9" s="1" t="s">
        <v>25</v>
      </c>
      <c r="B9">
        <v>520</v>
      </c>
    </row>
    <row r="10" spans="1:2" x14ac:dyDescent="0.25">
      <c r="A10" s="1" t="s">
        <v>23</v>
      </c>
      <c r="B10">
        <v>410</v>
      </c>
    </row>
    <row r="11" spans="1:2" x14ac:dyDescent="0.25">
      <c r="A11" s="1" t="s">
        <v>5</v>
      </c>
      <c r="B11">
        <v>403</v>
      </c>
    </row>
    <row r="12" spans="1:2" x14ac:dyDescent="0.25">
      <c r="A12" s="1" t="s">
        <v>7</v>
      </c>
      <c r="B12">
        <v>381</v>
      </c>
    </row>
    <row r="13" spans="1:2" x14ac:dyDescent="0.25">
      <c r="A13" s="1" t="s">
        <v>11</v>
      </c>
      <c r="B13">
        <v>374</v>
      </c>
    </row>
    <row r="14" spans="1:2" x14ac:dyDescent="0.25">
      <c r="A14" s="1" t="s">
        <v>9</v>
      </c>
      <c r="B14">
        <v>306</v>
      </c>
    </row>
    <row r="15" spans="1:2" x14ac:dyDescent="0.25">
      <c r="A15" s="1" t="s">
        <v>10</v>
      </c>
      <c r="B15">
        <v>289</v>
      </c>
    </row>
    <row r="16" spans="1:2" x14ac:dyDescent="0.25">
      <c r="A16" s="1" t="s">
        <v>30</v>
      </c>
      <c r="B16">
        <v>283</v>
      </c>
    </row>
    <row r="17" spans="1:2" x14ac:dyDescent="0.25">
      <c r="A17" s="1" t="s">
        <v>24</v>
      </c>
      <c r="B17">
        <v>207</v>
      </c>
    </row>
    <row r="18" spans="1:2" x14ac:dyDescent="0.25">
      <c r="A18" s="1" t="s">
        <v>12</v>
      </c>
      <c r="B18">
        <v>197</v>
      </c>
    </row>
    <row r="19" spans="1:2" x14ac:dyDescent="0.25">
      <c r="A19" s="1" t="s">
        <v>28</v>
      </c>
      <c r="B19">
        <v>192</v>
      </c>
    </row>
    <row r="20" spans="1:2" x14ac:dyDescent="0.25">
      <c r="A20" s="1" t="s">
        <v>26</v>
      </c>
      <c r="B20">
        <v>182</v>
      </c>
    </row>
    <row r="21" spans="1:2" x14ac:dyDescent="0.25">
      <c r="A21" s="1" t="s">
        <v>20</v>
      </c>
      <c r="B21">
        <v>166</v>
      </c>
    </row>
    <row r="22" spans="1:2" x14ac:dyDescent="0.25">
      <c r="A22" s="1" t="s">
        <v>27</v>
      </c>
      <c r="B22">
        <v>154</v>
      </c>
    </row>
    <row r="23" spans="1:2" x14ac:dyDescent="0.25">
      <c r="A23" s="1" t="s">
        <v>8</v>
      </c>
      <c r="B23">
        <v>106</v>
      </c>
    </row>
    <row r="24" spans="1:2" x14ac:dyDescent="0.25">
      <c r="A24" s="1" t="s">
        <v>29</v>
      </c>
      <c r="B24">
        <v>50</v>
      </c>
    </row>
    <row r="25" spans="1:2" x14ac:dyDescent="0.25">
      <c r="A25" s="1" t="s">
        <v>16</v>
      </c>
      <c r="B25">
        <v>49</v>
      </c>
    </row>
    <row r="26" spans="1:2" x14ac:dyDescent="0.25">
      <c r="A26" s="1" t="s">
        <v>22</v>
      </c>
      <c r="B26">
        <v>24</v>
      </c>
    </row>
    <row r="27" spans="1:2" x14ac:dyDescent="0.25">
      <c r="A27" s="1" t="s">
        <v>13</v>
      </c>
      <c r="B27">
        <v>23</v>
      </c>
    </row>
    <row r="28" spans="1:2" x14ac:dyDescent="0.25">
      <c r="A28" s="1" t="s">
        <v>15</v>
      </c>
      <c r="B28">
        <v>14</v>
      </c>
    </row>
    <row r="29" spans="1:2" x14ac:dyDescent="0.25">
      <c r="A29" s="1" t="s">
        <v>21</v>
      </c>
      <c r="B29">
        <v>13</v>
      </c>
    </row>
    <row r="30" spans="1:2" x14ac:dyDescent="0.25">
      <c r="A30" s="1" t="s">
        <v>14</v>
      </c>
      <c r="B30">
        <v>5</v>
      </c>
    </row>
    <row r="31" spans="1:2" x14ac:dyDescent="0.25">
      <c r="A31" s="1" t="s">
        <v>19</v>
      </c>
      <c r="B31">
        <v>3</v>
      </c>
    </row>
    <row r="32" spans="1:2" x14ac:dyDescent="0.25">
      <c r="A32" s="1" t="s">
        <v>18</v>
      </c>
      <c r="B32">
        <v>2</v>
      </c>
    </row>
    <row r="33" spans="1:4" x14ac:dyDescent="0.25">
      <c r="A33" s="1" t="s">
        <v>17</v>
      </c>
      <c r="B33">
        <v>0</v>
      </c>
    </row>
    <row r="34" spans="1:4" x14ac:dyDescent="0.25">
      <c r="D34">
        <f>SUM(B2:B33)</f>
        <v>13074</v>
      </c>
    </row>
  </sheetData>
  <autoFilter ref="A1:B1" xr:uid="{00000000-0001-0000-0000-000000000000}">
    <sortState xmlns:xlrd2="http://schemas.microsoft.com/office/spreadsheetml/2017/richdata2" ref="A2:B33">
      <sortCondition descending="1" ref="B1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5"/>
  <sheetViews>
    <sheetView topLeftCell="A19" workbookViewId="0">
      <selection activeCell="C35" sqref="C35"/>
    </sheetView>
  </sheetViews>
  <sheetFormatPr defaultRowHeight="15" x14ac:dyDescent="0.25"/>
  <cols>
    <col min="1" max="1" width="47.7109375" customWidth="1"/>
  </cols>
  <sheetData>
    <row r="1" spans="1:2" s="4" customFormat="1" x14ac:dyDescent="0.25">
      <c r="A1" s="5" t="s">
        <v>57</v>
      </c>
      <c r="B1" s="5" t="s">
        <v>48</v>
      </c>
    </row>
    <row r="2" spans="1:2" x14ac:dyDescent="0.25">
      <c r="A2" s="1" t="s">
        <v>58</v>
      </c>
      <c r="B2" s="7">
        <v>2454</v>
      </c>
    </row>
    <row r="3" spans="1:2" x14ac:dyDescent="0.25">
      <c r="A3" s="1" t="s">
        <v>31</v>
      </c>
      <c r="B3" s="7">
        <v>1999</v>
      </c>
    </row>
    <row r="4" spans="1:2" x14ac:dyDescent="0.25">
      <c r="A4" s="1" t="s">
        <v>0</v>
      </c>
      <c r="B4" s="7">
        <v>1891</v>
      </c>
    </row>
    <row r="5" spans="1:2" x14ac:dyDescent="0.25">
      <c r="A5" s="1" t="s">
        <v>3</v>
      </c>
      <c r="B5" s="7">
        <v>1278</v>
      </c>
    </row>
    <row r="6" spans="1:2" x14ac:dyDescent="0.25">
      <c r="A6" s="1" t="s">
        <v>4</v>
      </c>
      <c r="B6" s="7">
        <v>1234</v>
      </c>
    </row>
    <row r="7" spans="1:2" x14ac:dyDescent="0.25">
      <c r="A7" s="1" t="s">
        <v>1</v>
      </c>
      <c r="B7" s="7">
        <v>691</v>
      </c>
    </row>
    <row r="8" spans="1:2" x14ac:dyDescent="0.25">
      <c r="A8" s="1" t="s">
        <v>2</v>
      </c>
      <c r="B8" s="7">
        <v>620</v>
      </c>
    </row>
    <row r="9" spans="1:2" x14ac:dyDescent="0.25">
      <c r="A9" s="1" t="s">
        <v>73</v>
      </c>
      <c r="B9" s="7">
        <v>530</v>
      </c>
    </row>
    <row r="10" spans="1:2" x14ac:dyDescent="0.25">
      <c r="A10" s="1" t="s">
        <v>25</v>
      </c>
      <c r="B10" s="7">
        <v>342</v>
      </c>
    </row>
    <row r="11" spans="1:2" x14ac:dyDescent="0.25">
      <c r="A11" s="1" t="s">
        <v>11</v>
      </c>
      <c r="B11" s="7">
        <v>296</v>
      </c>
    </row>
    <row r="12" spans="1:2" x14ac:dyDescent="0.25">
      <c r="A12" s="1" t="s">
        <v>74</v>
      </c>
      <c r="B12" s="7">
        <v>280</v>
      </c>
    </row>
    <row r="13" spans="1:2" x14ac:dyDescent="0.25">
      <c r="A13" s="1" t="s">
        <v>75</v>
      </c>
      <c r="B13" s="7">
        <v>258</v>
      </c>
    </row>
    <row r="14" spans="1:2" x14ac:dyDescent="0.25">
      <c r="A14" s="1" t="s">
        <v>76</v>
      </c>
      <c r="B14" s="7">
        <v>204</v>
      </c>
    </row>
    <row r="15" spans="1:2" x14ac:dyDescent="0.25">
      <c r="A15" s="1" t="s">
        <v>10</v>
      </c>
      <c r="B15" s="7">
        <v>184</v>
      </c>
    </row>
    <row r="16" spans="1:2" x14ac:dyDescent="0.25">
      <c r="A16" s="1" t="s">
        <v>77</v>
      </c>
      <c r="B16" s="7">
        <v>160</v>
      </c>
    </row>
    <row r="17" spans="1:2" x14ac:dyDescent="0.25">
      <c r="A17" s="1" t="s">
        <v>78</v>
      </c>
      <c r="B17" s="7">
        <v>150</v>
      </c>
    </row>
    <row r="18" spans="1:2" x14ac:dyDescent="0.25">
      <c r="A18" s="1" t="s">
        <v>79</v>
      </c>
      <c r="B18" s="7">
        <v>137</v>
      </c>
    </row>
    <row r="19" spans="1:2" x14ac:dyDescent="0.25">
      <c r="A19" s="1" t="s">
        <v>23</v>
      </c>
      <c r="B19" s="7">
        <v>137</v>
      </c>
    </row>
    <row r="20" spans="1:2" x14ac:dyDescent="0.25">
      <c r="A20" s="1" t="s">
        <v>80</v>
      </c>
      <c r="B20" s="7">
        <v>132</v>
      </c>
    </row>
    <row r="21" spans="1:2" x14ac:dyDescent="0.25">
      <c r="A21" s="1" t="s">
        <v>27</v>
      </c>
      <c r="B21" s="7">
        <v>110</v>
      </c>
    </row>
    <row r="22" spans="1:2" x14ac:dyDescent="0.25">
      <c r="A22" s="1" t="s">
        <v>81</v>
      </c>
      <c r="B22" s="7">
        <v>97</v>
      </c>
    </row>
    <row r="23" spans="1:2" x14ac:dyDescent="0.25">
      <c r="A23" s="1" t="s">
        <v>59</v>
      </c>
      <c r="B23" s="7">
        <v>95</v>
      </c>
    </row>
    <row r="24" spans="1:2" x14ac:dyDescent="0.25">
      <c r="A24" s="1" t="s">
        <v>60</v>
      </c>
      <c r="B24" s="7">
        <v>67</v>
      </c>
    </row>
    <row r="25" spans="1:2" x14ac:dyDescent="0.25">
      <c r="A25" s="1" t="s">
        <v>61</v>
      </c>
      <c r="B25" s="7">
        <v>29</v>
      </c>
    </row>
    <row r="26" spans="1:2" x14ac:dyDescent="0.25">
      <c r="A26" s="1" t="s">
        <v>62</v>
      </c>
      <c r="B26" s="7">
        <v>11</v>
      </c>
    </row>
    <row r="27" spans="1:2" x14ac:dyDescent="0.25">
      <c r="A27" s="1" t="s">
        <v>63</v>
      </c>
      <c r="B27" s="7">
        <v>10</v>
      </c>
    </row>
    <row r="28" spans="1:2" x14ac:dyDescent="0.25">
      <c r="A28" s="1" t="s">
        <v>64</v>
      </c>
      <c r="B28" s="7">
        <v>10</v>
      </c>
    </row>
    <row r="29" spans="1:2" x14ac:dyDescent="0.25">
      <c r="A29" s="1" t="s">
        <v>65</v>
      </c>
      <c r="B29" s="7">
        <v>9</v>
      </c>
    </row>
    <row r="30" spans="1:2" x14ac:dyDescent="0.25">
      <c r="A30" s="1" t="s">
        <v>66</v>
      </c>
      <c r="B30" s="7">
        <v>6</v>
      </c>
    </row>
    <row r="31" spans="1:2" x14ac:dyDescent="0.25">
      <c r="A31" s="1" t="s">
        <v>67</v>
      </c>
      <c r="B31" s="7">
        <v>5</v>
      </c>
    </row>
    <row r="32" spans="1:2" x14ac:dyDescent="0.25">
      <c r="A32" s="1" t="s">
        <v>68</v>
      </c>
      <c r="B32" s="7">
        <v>2</v>
      </c>
    </row>
    <row r="33" spans="1:3" x14ac:dyDescent="0.25">
      <c r="A33" s="1" t="s">
        <v>69</v>
      </c>
      <c r="B33" s="7">
        <v>1</v>
      </c>
    </row>
    <row r="35" spans="1:3" x14ac:dyDescent="0.25">
      <c r="C35">
        <f>SUM(B2:B33)</f>
        <v>13429</v>
      </c>
    </row>
  </sheetData>
  <autoFilter ref="A1:B1" xr:uid="{00000000-0001-0000-0600-000000000000}">
    <sortState xmlns:xlrd2="http://schemas.microsoft.com/office/spreadsheetml/2017/richdata2" ref="A2:B33">
      <sortCondition descending="1" ref="B1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"/>
  <sheetViews>
    <sheetView workbookViewId="0">
      <selection activeCell="C4" sqref="C4"/>
    </sheetView>
  </sheetViews>
  <sheetFormatPr defaultRowHeight="15" x14ac:dyDescent="0.25"/>
  <cols>
    <col min="1" max="1" width="43.42578125" customWidth="1"/>
  </cols>
  <sheetData>
    <row r="1" spans="1:3" x14ac:dyDescent="0.25">
      <c r="A1" s="2" t="s">
        <v>70</v>
      </c>
      <c r="B1" s="1" t="s">
        <v>48</v>
      </c>
      <c r="C1" t="s">
        <v>83</v>
      </c>
    </row>
    <row r="2" spans="1:3" x14ac:dyDescent="0.25">
      <c r="A2" s="1" t="s">
        <v>35</v>
      </c>
      <c r="B2">
        <v>3397</v>
      </c>
      <c r="C2">
        <f>B2/C20</f>
        <v>0.25296001191451339</v>
      </c>
    </row>
    <row r="3" spans="1:3" x14ac:dyDescent="0.25">
      <c r="A3" s="1" t="s">
        <v>33</v>
      </c>
      <c r="B3">
        <v>2204</v>
      </c>
      <c r="C3">
        <f>B3/C20</f>
        <v>0.16412242162484175</v>
      </c>
    </row>
    <row r="4" spans="1:3" x14ac:dyDescent="0.25">
      <c r="A4" s="1" t="s">
        <v>45</v>
      </c>
      <c r="B4">
        <v>1747</v>
      </c>
    </row>
    <row r="5" spans="1:3" x14ac:dyDescent="0.25">
      <c r="A5" s="1" t="s">
        <v>32</v>
      </c>
      <c r="B5">
        <v>1736</v>
      </c>
    </row>
    <row r="6" spans="1:3" x14ac:dyDescent="0.25">
      <c r="A6" s="1" t="s">
        <v>38</v>
      </c>
      <c r="B6">
        <v>1238</v>
      </c>
    </row>
    <row r="7" spans="1:3" x14ac:dyDescent="0.25">
      <c r="A7" s="1" t="s">
        <v>34</v>
      </c>
      <c r="B7">
        <v>876</v>
      </c>
    </row>
    <row r="8" spans="1:3" x14ac:dyDescent="0.25">
      <c r="A8" s="1" t="s">
        <v>47</v>
      </c>
      <c r="B8">
        <v>744</v>
      </c>
    </row>
    <row r="9" spans="1:3" x14ac:dyDescent="0.25">
      <c r="A9" s="1" t="s">
        <v>46</v>
      </c>
      <c r="B9">
        <v>743</v>
      </c>
    </row>
    <row r="10" spans="1:3" x14ac:dyDescent="0.25">
      <c r="A10" s="1" t="s">
        <v>37</v>
      </c>
      <c r="B10">
        <v>388</v>
      </c>
    </row>
    <row r="11" spans="1:3" x14ac:dyDescent="0.25">
      <c r="A11" s="1" t="s">
        <v>36</v>
      </c>
      <c r="B11">
        <v>387</v>
      </c>
    </row>
    <row r="12" spans="1:3" x14ac:dyDescent="0.25">
      <c r="A12" s="1" t="s">
        <v>44</v>
      </c>
      <c r="B12">
        <v>364</v>
      </c>
    </row>
    <row r="13" spans="1:3" x14ac:dyDescent="0.25">
      <c r="A13" s="1" t="s">
        <v>43</v>
      </c>
      <c r="B13">
        <v>275</v>
      </c>
    </row>
    <row r="14" spans="1:3" x14ac:dyDescent="0.25">
      <c r="A14" s="1" t="s">
        <v>39</v>
      </c>
      <c r="B14">
        <v>91</v>
      </c>
    </row>
    <row r="15" spans="1:3" x14ac:dyDescent="0.25">
      <c r="A15" s="1" t="s">
        <v>40</v>
      </c>
      <c r="B15">
        <v>52</v>
      </c>
    </row>
    <row r="16" spans="1:3" x14ac:dyDescent="0.25">
      <c r="A16" s="1" t="s">
        <v>41</v>
      </c>
      <c r="B16">
        <v>16</v>
      </c>
    </row>
    <row r="17" spans="1:3" x14ac:dyDescent="0.25">
      <c r="A17" s="1" t="s">
        <v>42</v>
      </c>
      <c r="B17">
        <v>10</v>
      </c>
    </row>
    <row r="19" spans="1:3" x14ac:dyDescent="0.25">
      <c r="A19" s="3" t="s">
        <v>71</v>
      </c>
      <c r="C19">
        <f>SUM(B2:B17)</f>
        <v>14268</v>
      </c>
    </row>
    <row r="20" spans="1:3" x14ac:dyDescent="0.25">
      <c r="A20" s="3" t="s">
        <v>82</v>
      </c>
      <c r="C20">
        <v>13429</v>
      </c>
    </row>
  </sheetData>
  <autoFilter ref="A1:B1" xr:uid="{00000000-0001-0000-0100-000000000000}">
    <sortState xmlns:xlrd2="http://schemas.microsoft.com/office/spreadsheetml/2017/richdata2" ref="A2:B17">
      <sortCondition descending="1" ref="B1"/>
    </sortState>
  </autoFilter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U17" sqref="U17"/>
    </sheetView>
  </sheetViews>
  <sheetFormatPr defaultRowHeight="15" x14ac:dyDescent="0.25"/>
  <cols>
    <col min="1" max="1" width="53.42578125" customWidth="1"/>
  </cols>
  <sheetData>
    <row r="1" spans="1:2" x14ac:dyDescent="0.25">
      <c r="A1" s="1" t="s">
        <v>49</v>
      </c>
      <c r="B1" s="1" t="s">
        <v>48</v>
      </c>
    </row>
    <row r="2" spans="1:2" x14ac:dyDescent="0.25">
      <c r="A2" s="1" t="s">
        <v>50</v>
      </c>
      <c r="B2">
        <v>3993</v>
      </c>
    </row>
    <row r="3" spans="1:2" x14ac:dyDescent="0.25">
      <c r="A3" s="1" t="s">
        <v>51</v>
      </c>
      <c r="B3">
        <v>3807</v>
      </c>
    </row>
    <row r="4" spans="1:2" x14ac:dyDescent="0.25">
      <c r="A4" s="1" t="s">
        <v>52</v>
      </c>
      <c r="B4">
        <v>2490</v>
      </c>
    </row>
    <row r="5" spans="1:2" x14ac:dyDescent="0.25">
      <c r="A5" s="1" t="s">
        <v>53</v>
      </c>
      <c r="B5">
        <v>2047</v>
      </c>
    </row>
    <row r="6" spans="1:2" x14ac:dyDescent="0.25">
      <c r="A6" s="1" t="s">
        <v>54</v>
      </c>
      <c r="B6">
        <v>877</v>
      </c>
    </row>
    <row r="7" spans="1:2" x14ac:dyDescent="0.25">
      <c r="A7" s="1" t="s">
        <v>55</v>
      </c>
      <c r="B7">
        <v>215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"/>
  <sheetViews>
    <sheetView tabSelected="1" workbookViewId="0"/>
  </sheetViews>
  <sheetFormatPr defaultRowHeight="15" x14ac:dyDescent="0.25"/>
  <cols>
    <col min="2" max="2" width="19.85546875" customWidth="1"/>
    <col min="3" max="3" width="19" customWidth="1"/>
    <col min="4" max="4" width="19.7109375" customWidth="1"/>
    <col min="5" max="5" width="18.140625" customWidth="1"/>
    <col min="6" max="6" width="17.28515625" customWidth="1"/>
    <col min="7" max="7" width="16.28515625" customWidth="1"/>
    <col min="8" max="8" width="19" customWidth="1"/>
    <col min="9" max="9" width="15" customWidth="1"/>
    <col min="10" max="10" width="20.140625" customWidth="1"/>
    <col min="11" max="11" width="14.85546875" customWidth="1"/>
  </cols>
  <sheetData>
    <row r="1" spans="1:33" x14ac:dyDescent="0.25">
      <c r="A1" s="1" t="s">
        <v>56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</row>
    <row r="2" spans="1:33" x14ac:dyDescent="0.25">
      <c r="A2" s="1">
        <v>2019</v>
      </c>
      <c r="B2">
        <v>179</v>
      </c>
      <c r="C2">
        <v>60</v>
      </c>
      <c r="D2">
        <v>67</v>
      </c>
      <c r="E2">
        <v>122</v>
      </c>
      <c r="F2">
        <v>114</v>
      </c>
      <c r="G2">
        <v>14</v>
      </c>
      <c r="H2">
        <v>27</v>
      </c>
      <c r="I2">
        <v>21</v>
      </c>
      <c r="J2">
        <v>2</v>
      </c>
      <c r="K2">
        <v>29</v>
      </c>
      <c r="L2">
        <v>27</v>
      </c>
      <c r="M2">
        <v>18</v>
      </c>
      <c r="N2">
        <v>8</v>
      </c>
      <c r="O2">
        <v>4</v>
      </c>
      <c r="P2">
        <v>0</v>
      </c>
      <c r="Q2">
        <v>1</v>
      </c>
      <c r="R2">
        <v>3</v>
      </c>
      <c r="S2">
        <v>0</v>
      </c>
      <c r="T2">
        <v>0</v>
      </c>
      <c r="U2">
        <v>0</v>
      </c>
      <c r="V2">
        <v>12</v>
      </c>
      <c r="W2">
        <v>1</v>
      </c>
      <c r="X2">
        <v>0</v>
      </c>
      <c r="Y2">
        <v>33</v>
      </c>
      <c r="Z2">
        <v>13</v>
      </c>
      <c r="AA2">
        <v>45</v>
      </c>
      <c r="AB2">
        <v>11</v>
      </c>
      <c r="AC2">
        <v>14</v>
      </c>
      <c r="AD2">
        <v>19</v>
      </c>
      <c r="AE2">
        <v>1</v>
      </c>
      <c r="AF2">
        <v>23</v>
      </c>
      <c r="AG2">
        <v>80</v>
      </c>
    </row>
    <row r="3" spans="1:33" x14ac:dyDescent="0.25">
      <c r="A3" s="1">
        <v>2020</v>
      </c>
      <c r="B3">
        <v>250</v>
      </c>
      <c r="C3">
        <v>136</v>
      </c>
      <c r="D3">
        <v>108</v>
      </c>
      <c r="E3">
        <v>174</v>
      </c>
      <c r="F3">
        <v>166</v>
      </c>
      <c r="G3">
        <v>55</v>
      </c>
      <c r="H3">
        <v>71</v>
      </c>
      <c r="I3">
        <v>37</v>
      </c>
      <c r="J3">
        <v>9</v>
      </c>
      <c r="K3">
        <v>23</v>
      </c>
      <c r="L3">
        <v>17</v>
      </c>
      <c r="M3">
        <v>47</v>
      </c>
      <c r="N3">
        <v>17</v>
      </c>
      <c r="O3">
        <v>5</v>
      </c>
      <c r="P3">
        <v>1</v>
      </c>
      <c r="Q3">
        <v>3</v>
      </c>
      <c r="R3">
        <v>10</v>
      </c>
      <c r="S3">
        <v>0</v>
      </c>
      <c r="T3">
        <v>0</v>
      </c>
      <c r="U3">
        <v>0</v>
      </c>
      <c r="V3">
        <v>25</v>
      </c>
      <c r="W3">
        <v>2</v>
      </c>
      <c r="X3">
        <v>1</v>
      </c>
      <c r="Y3">
        <v>38</v>
      </c>
      <c r="Z3">
        <v>21</v>
      </c>
      <c r="AA3">
        <v>74</v>
      </c>
      <c r="AB3">
        <v>13</v>
      </c>
      <c r="AC3">
        <v>17</v>
      </c>
      <c r="AD3">
        <v>14</v>
      </c>
      <c r="AE3">
        <v>5</v>
      </c>
      <c r="AF3">
        <v>29</v>
      </c>
      <c r="AG3">
        <v>108</v>
      </c>
    </row>
    <row r="4" spans="1:33" x14ac:dyDescent="0.25">
      <c r="A4" s="1">
        <v>2021</v>
      </c>
      <c r="B4">
        <v>358</v>
      </c>
      <c r="C4">
        <v>157</v>
      </c>
      <c r="D4">
        <v>142</v>
      </c>
      <c r="E4">
        <v>273</v>
      </c>
      <c r="F4">
        <v>257</v>
      </c>
      <c r="G4">
        <v>64</v>
      </c>
      <c r="H4">
        <v>121</v>
      </c>
      <c r="I4">
        <v>58</v>
      </c>
      <c r="J4">
        <v>12</v>
      </c>
      <c r="K4">
        <v>46</v>
      </c>
      <c r="L4">
        <v>46</v>
      </c>
      <c r="M4">
        <v>61</v>
      </c>
      <c r="N4">
        <v>32</v>
      </c>
      <c r="O4">
        <v>4</v>
      </c>
      <c r="P4">
        <v>0</v>
      </c>
      <c r="Q4">
        <v>1</v>
      </c>
      <c r="R4">
        <v>6</v>
      </c>
      <c r="S4">
        <v>0</v>
      </c>
      <c r="T4">
        <v>0</v>
      </c>
      <c r="U4">
        <v>1</v>
      </c>
      <c r="V4">
        <v>31</v>
      </c>
      <c r="W4">
        <v>1</v>
      </c>
      <c r="X4">
        <v>6</v>
      </c>
      <c r="Y4">
        <v>78</v>
      </c>
      <c r="Z4">
        <v>38</v>
      </c>
      <c r="AA4">
        <v>94</v>
      </c>
      <c r="AB4">
        <v>27</v>
      </c>
      <c r="AC4">
        <v>25</v>
      </c>
      <c r="AD4">
        <v>32</v>
      </c>
      <c r="AE4">
        <v>10</v>
      </c>
      <c r="AF4">
        <v>48</v>
      </c>
      <c r="AG4">
        <v>175</v>
      </c>
    </row>
    <row r="5" spans="1:33" x14ac:dyDescent="0.25">
      <c r="A5" s="1">
        <v>2022</v>
      </c>
      <c r="B5">
        <v>484</v>
      </c>
      <c r="C5">
        <v>212</v>
      </c>
      <c r="D5">
        <v>164</v>
      </c>
      <c r="E5">
        <v>347</v>
      </c>
      <c r="F5">
        <v>309</v>
      </c>
      <c r="G5">
        <v>82</v>
      </c>
      <c r="H5">
        <v>157</v>
      </c>
      <c r="I5">
        <v>101</v>
      </c>
      <c r="J5">
        <v>29</v>
      </c>
      <c r="K5">
        <v>75</v>
      </c>
      <c r="L5">
        <v>70</v>
      </c>
      <c r="M5">
        <v>69</v>
      </c>
      <c r="N5">
        <v>47</v>
      </c>
      <c r="O5">
        <v>4</v>
      </c>
      <c r="P5">
        <v>3</v>
      </c>
      <c r="Q5">
        <v>5</v>
      </c>
      <c r="R5">
        <v>14</v>
      </c>
      <c r="S5">
        <v>0</v>
      </c>
      <c r="T5">
        <v>1</v>
      </c>
      <c r="U5">
        <v>1</v>
      </c>
      <c r="V5">
        <v>28</v>
      </c>
      <c r="W5">
        <v>3</v>
      </c>
      <c r="X5">
        <v>4</v>
      </c>
      <c r="Y5">
        <v>105</v>
      </c>
      <c r="Z5">
        <v>41</v>
      </c>
      <c r="AA5">
        <v>108</v>
      </c>
      <c r="AB5">
        <v>37</v>
      </c>
      <c r="AC5">
        <v>35</v>
      </c>
      <c r="AD5">
        <v>46</v>
      </c>
      <c r="AE5">
        <v>14</v>
      </c>
      <c r="AF5">
        <v>51</v>
      </c>
      <c r="AG5">
        <v>189</v>
      </c>
    </row>
    <row r="6" spans="1:33" x14ac:dyDescent="0.25">
      <c r="A6" s="1">
        <v>2023</v>
      </c>
      <c r="B6">
        <v>562</v>
      </c>
      <c r="C6">
        <v>260</v>
      </c>
      <c r="D6">
        <v>193</v>
      </c>
      <c r="E6">
        <v>350</v>
      </c>
      <c r="F6">
        <v>335</v>
      </c>
      <c r="G6">
        <v>100</v>
      </c>
      <c r="H6">
        <v>158</v>
      </c>
      <c r="I6">
        <v>89</v>
      </c>
      <c r="J6">
        <v>24</v>
      </c>
      <c r="K6">
        <v>65</v>
      </c>
      <c r="L6">
        <v>61</v>
      </c>
      <c r="M6">
        <v>103</v>
      </c>
      <c r="N6">
        <v>54</v>
      </c>
      <c r="O6">
        <v>5</v>
      </c>
      <c r="P6">
        <v>1</v>
      </c>
      <c r="Q6">
        <v>3</v>
      </c>
      <c r="R6">
        <v>9</v>
      </c>
      <c r="S6">
        <v>0</v>
      </c>
      <c r="T6">
        <v>1</v>
      </c>
      <c r="U6">
        <v>0</v>
      </c>
      <c r="V6">
        <v>41</v>
      </c>
      <c r="W6">
        <v>2</v>
      </c>
      <c r="X6">
        <v>7</v>
      </c>
      <c r="Y6">
        <v>81</v>
      </c>
      <c r="Z6">
        <v>46</v>
      </c>
      <c r="AA6">
        <v>122</v>
      </c>
      <c r="AB6">
        <v>51</v>
      </c>
      <c r="AC6">
        <v>34</v>
      </c>
      <c r="AD6">
        <v>50</v>
      </c>
      <c r="AE6">
        <v>11</v>
      </c>
      <c r="AF6">
        <v>83</v>
      </c>
      <c r="AG6">
        <v>209</v>
      </c>
    </row>
    <row r="7" spans="1:33" x14ac:dyDescent="0.25">
      <c r="A7" s="1">
        <v>2024</v>
      </c>
      <c r="B7">
        <v>371</v>
      </c>
      <c r="C7">
        <v>220</v>
      </c>
      <c r="D7">
        <v>141</v>
      </c>
      <c r="E7">
        <v>325</v>
      </c>
      <c r="F7">
        <v>286</v>
      </c>
      <c r="G7">
        <v>88</v>
      </c>
      <c r="H7">
        <v>127</v>
      </c>
      <c r="I7">
        <v>75</v>
      </c>
      <c r="J7">
        <v>30</v>
      </c>
      <c r="K7">
        <v>68</v>
      </c>
      <c r="L7">
        <v>68</v>
      </c>
      <c r="M7">
        <v>76</v>
      </c>
      <c r="N7">
        <v>39</v>
      </c>
      <c r="O7">
        <v>1</v>
      </c>
      <c r="P7">
        <v>0</v>
      </c>
      <c r="Q7">
        <v>1</v>
      </c>
      <c r="R7">
        <v>7</v>
      </c>
      <c r="S7">
        <v>0</v>
      </c>
      <c r="T7">
        <v>0</v>
      </c>
      <c r="U7">
        <v>1</v>
      </c>
      <c r="V7">
        <v>29</v>
      </c>
      <c r="W7">
        <v>4</v>
      </c>
      <c r="X7">
        <v>6</v>
      </c>
      <c r="Y7">
        <v>75</v>
      </c>
      <c r="Z7">
        <v>48</v>
      </c>
      <c r="AA7">
        <v>77</v>
      </c>
      <c r="AB7">
        <v>43</v>
      </c>
      <c r="AC7">
        <v>29</v>
      </c>
      <c r="AD7">
        <v>31</v>
      </c>
      <c r="AE7">
        <v>9</v>
      </c>
      <c r="AF7">
        <v>49</v>
      </c>
      <c r="AG7">
        <v>177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"/>
  <sheetViews>
    <sheetView workbookViewId="0"/>
  </sheetViews>
  <sheetFormatPr defaultRowHeight="15" x14ac:dyDescent="0.25"/>
  <sheetData>
    <row r="1" spans="1:17" x14ac:dyDescent="0.25">
      <c r="A1" s="1" t="s">
        <v>56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</row>
    <row r="2" spans="1:17" x14ac:dyDescent="0.25">
      <c r="A2" s="1">
        <v>2019</v>
      </c>
      <c r="B2">
        <v>103</v>
      </c>
      <c r="C2">
        <v>135</v>
      </c>
      <c r="D2">
        <v>51</v>
      </c>
      <c r="E2">
        <v>251</v>
      </c>
      <c r="F2">
        <v>13</v>
      </c>
      <c r="G2">
        <v>21</v>
      </c>
      <c r="H2">
        <v>93</v>
      </c>
      <c r="I2">
        <v>9</v>
      </c>
      <c r="J2">
        <v>7</v>
      </c>
      <c r="K2">
        <v>1</v>
      </c>
      <c r="L2">
        <v>1</v>
      </c>
      <c r="M2">
        <v>18</v>
      </c>
      <c r="N2">
        <v>16</v>
      </c>
      <c r="O2">
        <v>92</v>
      </c>
      <c r="P2">
        <v>44</v>
      </c>
      <c r="Q2">
        <v>44</v>
      </c>
    </row>
    <row r="3" spans="1:17" x14ac:dyDescent="0.25">
      <c r="A3" s="1">
        <v>2020</v>
      </c>
      <c r="B3">
        <v>166</v>
      </c>
      <c r="C3">
        <v>210</v>
      </c>
      <c r="D3">
        <v>87</v>
      </c>
      <c r="E3">
        <v>399</v>
      </c>
      <c r="F3">
        <v>24</v>
      </c>
      <c r="G3">
        <v>49</v>
      </c>
      <c r="H3">
        <v>136</v>
      </c>
      <c r="I3">
        <v>15</v>
      </c>
      <c r="J3">
        <v>3</v>
      </c>
      <c r="K3">
        <v>1</v>
      </c>
      <c r="L3">
        <v>4</v>
      </c>
      <c r="M3">
        <v>35</v>
      </c>
      <c r="N3">
        <v>32</v>
      </c>
      <c r="O3">
        <v>133</v>
      </c>
      <c r="P3">
        <v>81</v>
      </c>
      <c r="Q3">
        <v>66</v>
      </c>
    </row>
    <row r="4" spans="1:17" x14ac:dyDescent="0.25">
      <c r="A4" s="1">
        <v>2021</v>
      </c>
      <c r="B4">
        <v>274</v>
      </c>
      <c r="C4">
        <v>359</v>
      </c>
      <c r="D4">
        <v>133</v>
      </c>
      <c r="E4">
        <v>576</v>
      </c>
      <c r="F4">
        <v>37</v>
      </c>
      <c r="G4">
        <v>68</v>
      </c>
      <c r="H4">
        <v>212</v>
      </c>
      <c r="I4">
        <v>15</v>
      </c>
      <c r="J4">
        <v>6</v>
      </c>
      <c r="K4">
        <v>7</v>
      </c>
      <c r="L4">
        <v>1</v>
      </c>
      <c r="M4">
        <v>52</v>
      </c>
      <c r="N4">
        <v>56</v>
      </c>
      <c r="O4">
        <v>260</v>
      </c>
      <c r="P4">
        <v>113</v>
      </c>
      <c r="Q4">
        <v>108</v>
      </c>
    </row>
    <row r="5" spans="1:17" x14ac:dyDescent="0.25">
      <c r="A5" s="1">
        <v>2022</v>
      </c>
      <c r="B5">
        <v>418</v>
      </c>
      <c r="C5">
        <v>458</v>
      </c>
      <c r="D5">
        <v>211</v>
      </c>
      <c r="E5">
        <v>762</v>
      </c>
      <c r="F5">
        <v>86</v>
      </c>
      <c r="G5">
        <v>69</v>
      </c>
      <c r="H5">
        <v>269</v>
      </c>
      <c r="I5">
        <v>17</v>
      </c>
      <c r="J5">
        <v>8</v>
      </c>
      <c r="K5">
        <v>3</v>
      </c>
      <c r="L5">
        <v>2</v>
      </c>
      <c r="M5">
        <v>47</v>
      </c>
      <c r="N5">
        <v>87</v>
      </c>
      <c r="O5">
        <v>386</v>
      </c>
      <c r="P5">
        <v>161</v>
      </c>
      <c r="Q5">
        <v>169</v>
      </c>
    </row>
    <row r="6" spans="1:17" x14ac:dyDescent="0.25">
      <c r="A6" s="1">
        <v>2023</v>
      </c>
      <c r="B6">
        <v>406</v>
      </c>
      <c r="C6">
        <v>527</v>
      </c>
      <c r="D6">
        <v>210</v>
      </c>
      <c r="E6">
        <v>802</v>
      </c>
      <c r="F6">
        <v>115</v>
      </c>
      <c r="G6">
        <v>106</v>
      </c>
      <c r="H6">
        <v>295</v>
      </c>
      <c r="I6">
        <v>21</v>
      </c>
      <c r="J6">
        <v>18</v>
      </c>
      <c r="K6">
        <v>2</v>
      </c>
      <c r="L6">
        <v>1</v>
      </c>
      <c r="M6">
        <v>68</v>
      </c>
      <c r="N6">
        <v>87</v>
      </c>
      <c r="O6">
        <v>446</v>
      </c>
      <c r="P6">
        <v>176</v>
      </c>
      <c r="Q6">
        <v>192</v>
      </c>
    </row>
    <row r="7" spans="1:17" x14ac:dyDescent="0.25">
      <c r="A7" s="1">
        <v>2024</v>
      </c>
      <c r="B7">
        <v>369</v>
      </c>
      <c r="C7">
        <v>515</v>
      </c>
      <c r="D7">
        <v>184</v>
      </c>
      <c r="E7">
        <v>607</v>
      </c>
      <c r="F7">
        <v>112</v>
      </c>
      <c r="G7">
        <v>75</v>
      </c>
      <c r="H7">
        <v>233</v>
      </c>
      <c r="I7">
        <v>14</v>
      </c>
      <c r="J7">
        <v>10</v>
      </c>
      <c r="K7">
        <v>2</v>
      </c>
      <c r="L7">
        <v>1</v>
      </c>
      <c r="M7">
        <v>55</v>
      </c>
      <c r="N7">
        <v>86</v>
      </c>
      <c r="O7">
        <v>430</v>
      </c>
      <c r="P7">
        <v>168</v>
      </c>
      <c r="Q7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7"/>
  <sheetViews>
    <sheetView workbookViewId="0">
      <selection activeCell="E4" sqref="E4"/>
    </sheetView>
  </sheetViews>
  <sheetFormatPr defaultRowHeight="15" x14ac:dyDescent="0.25"/>
  <cols>
    <col min="1" max="1" width="37.85546875" customWidth="1"/>
    <col min="2" max="2" width="31.42578125" customWidth="1"/>
    <col min="3" max="3" width="27.42578125" customWidth="1"/>
    <col min="4" max="4" width="36.140625" customWidth="1"/>
    <col min="5" max="5" width="11" customWidth="1"/>
    <col min="6" max="6" width="25" customWidth="1"/>
    <col min="7" max="7" width="30.28515625" customWidth="1"/>
  </cols>
  <sheetData>
    <row r="1" spans="1:7" x14ac:dyDescent="0.25">
      <c r="A1" s="1" t="s">
        <v>56</v>
      </c>
      <c r="B1" s="1" t="s">
        <v>52</v>
      </c>
      <c r="C1" s="1" t="s">
        <v>54</v>
      </c>
      <c r="D1" s="1" t="s">
        <v>53</v>
      </c>
      <c r="E1" s="1" t="s">
        <v>50</v>
      </c>
      <c r="F1" s="1" t="s">
        <v>51</v>
      </c>
      <c r="G1" s="1" t="s">
        <v>55</v>
      </c>
    </row>
    <row r="2" spans="1:7" x14ac:dyDescent="0.25">
      <c r="A2" s="1">
        <v>2019</v>
      </c>
      <c r="B2">
        <v>148</v>
      </c>
      <c r="C2">
        <v>67</v>
      </c>
      <c r="D2">
        <v>152</v>
      </c>
      <c r="E2">
        <v>333</v>
      </c>
      <c r="F2">
        <v>225</v>
      </c>
      <c r="G2">
        <v>26</v>
      </c>
    </row>
    <row r="3" spans="1:7" x14ac:dyDescent="0.25">
      <c r="A3" s="1">
        <v>2020</v>
      </c>
      <c r="B3">
        <v>270</v>
      </c>
      <c r="C3">
        <v>90</v>
      </c>
      <c r="D3">
        <v>222</v>
      </c>
      <c r="E3">
        <v>521</v>
      </c>
      <c r="F3">
        <v>388</v>
      </c>
      <c r="G3">
        <v>30</v>
      </c>
    </row>
    <row r="4" spans="1:7" x14ac:dyDescent="0.25">
      <c r="A4" s="1">
        <v>2021</v>
      </c>
      <c r="B4">
        <v>427</v>
      </c>
      <c r="C4">
        <v>176</v>
      </c>
      <c r="D4">
        <v>334</v>
      </c>
      <c r="E4">
        <v>619</v>
      </c>
      <c r="F4">
        <v>653</v>
      </c>
      <c r="G4">
        <v>29</v>
      </c>
    </row>
    <row r="5" spans="1:7" x14ac:dyDescent="0.25">
      <c r="A5" s="1">
        <v>2022</v>
      </c>
      <c r="B5">
        <v>564</v>
      </c>
      <c r="C5">
        <v>169</v>
      </c>
      <c r="D5">
        <v>430</v>
      </c>
      <c r="E5">
        <v>849</v>
      </c>
      <c r="F5">
        <v>849</v>
      </c>
      <c r="G5">
        <v>43</v>
      </c>
    </row>
    <row r="6" spans="1:7" x14ac:dyDescent="0.25">
      <c r="A6" s="1">
        <v>2023</v>
      </c>
      <c r="B6">
        <v>630</v>
      </c>
      <c r="C6">
        <v>200</v>
      </c>
      <c r="D6">
        <v>511</v>
      </c>
      <c r="E6">
        <v>918</v>
      </c>
      <c r="F6">
        <v>903</v>
      </c>
      <c r="G6">
        <v>55</v>
      </c>
    </row>
    <row r="7" spans="1:7" x14ac:dyDescent="0.25">
      <c r="A7" s="1">
        <v>2024</v>
      </c>
      <c r="B7">
        <v>451</v>
      </c>
      <c r="C7">
        <v>175</v>
      </c>
      <c r="D7">
        <v>398</v>
      </c>
      <c r="E7">
        <v>753</v>
      </c>
      <c r="F7">
        <v>789</v>
      </c>
      <c r="G7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Cancer Types Frequency</vt:lpstr>
      <vt:lpstr>Cancer Type Distribution</vt:lpstr>
      <vt:lpstr>AI Models Frequency</vt:lpstr>
      <vt:lpstr>Accuracy Categories</vt:lpstr>
      <vt:lpstr>Cancer Types by Year</vt:lpstr>
      <vt:lpstr>AI Models by Year</vt:lpstr>
      <vt:lpstr>Accuracy by 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Владелец</cp:lastModifiedBy>
  <dcterms:created xsi:type="dcterms:W3CDTF">2024-10-08T12:43:37Z</dcterms:created>
  <dcterms:modified xsi:type="dcterms:W3CDTF">2024-10-08T16:15:33Z</dcterms:modified>
</cp:coreProperties>
</file>