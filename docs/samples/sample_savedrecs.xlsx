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hbs24\.vscode\last version\wos_oncoarticleclassifier\docs\samples\"/>
    </mc:Choice>
  </mc:AlternateContent>
  <xr:revisionPtr revIDLastSave="0" documentId="8_{A11C7728-C785-42B4-9935-2894686ED66B}" xr6:coauthVersionLast="47" xr6:coauthVersionMax="47" xr10:uidLastSave="{00000000-0000-0000-0000-000000000000}"/>
  <bookViews>
    <workbookView xWindow="-120" yWindow="-120" windowWidth="29040" windowHeight="15720" xr2:uid="{4315669A-6622-44B2-B683-507DE021BAE9}"/>
  </bookViews>
  <sheets>
    <sheet name="savedrec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2" i="1" l="1"/>
  <c r="BT2" i="1"/>
  <c r="BF3" i="1"/>
  <c r="BT3" i="1"/>
  <c r="BF4" i="1"/>
  <c r="BT4" i="1"/>
  <c r="BF5" i="1"/>
  <c r="BT5" i="1"/>
  <c r="BF6" i="1"/>
  <c r="BT6" i="1"/>
  <c r="BF7" i="1"/>
  <c r="BT7" i="1"/>
  <c r="BF8" i="1"/>
  <c r="BT8" i="1"/>
  <c r="BF9" i="1"/>
  <c r="BT9" i="1"/>
  <c r="BF10" i="1"/>
  <c r="BT10" i="1"/>
  <c r="BF11" i="1"/>
  <c r="BT11" i="1"/>
  <c r="BF12" i="1"/>
  <c r="BT12" i="1"/>
  <c r="BF13" i="1"/>
  <c r="BT13" i="1"/>
  <c r="BF14" i="1"/>
  <c r="BT14" i="1"/>
  <c r="BF15" i="1"/>
  <c r="BT15" i="1"/>
</calcChain>
</file>

<file path=xl/sharedStrings.xml><?xml version="1.0" encoding="utf-8"?>
<sst xmlns="http://schemas.openxmlformats.org/spreadsheetml/2006/main" count="1004" uniqueCount="302">
  <si>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</si>
  <si>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</si>
  <si>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</si>
  <si>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</si>
  <si>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</si>
  <si>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</si>
  <si>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</si>
  <si>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</si>
  <si>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</si>
  <si>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</si>
  <si>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</si>
  <si>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</si>
  <si>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</si>
  <si>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</si>
  <si>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</si>
  <si>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</si>
  <si>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</si>
  <si>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</si>
  <si>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</si>
  <si>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</si>
  <si>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</si>
  <si>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</si>
  <si>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</si>
  <si>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</si>
  <si>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</si>
  <si>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</si>
  <si>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</si>
  <si>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</si>
  <si>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</si>
  <si>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</si>
  <si>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</si>
  <si>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</si>
  <si>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</si>
  <si>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</si>
  <si>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</si>
  <si>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</si>
  <si>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</si>
  <si>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</si>
  <si>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</si>
  <si>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</si>
  <si>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</si>
  <si>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</si>
  <si>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</si>
  <si>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</si>
  <si>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</si>
  <si>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</si>
  <si>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</si>
  <si>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</si>
  <si>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</si>
  <si>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</si>
  <si>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</si>
  <si>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</si>
  <si>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</si>
  <si>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</si>
  <si>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</si>
  <si>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</si>
  <si>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</si>
  <si>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</si>
  <si>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</si>
  <si>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</si>
  <si>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</si>
  <si>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</si>
  <si>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</si>
  <si>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</si>
  <si>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</si>
  <si>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</si>
  <si>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</si>
  <si>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</si>
  <si>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</si>
  <si>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</si>
  <si>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</si>
  <si>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</si>
  <si>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</si>
  <si>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Sillanpaa, J; Sood, A; Reynolds, M</t>
  </si>
  <si>
    <t/>
  </si>
  <si>
    <t>Sillanpaa, Jussi; Sood, Amit; Reynolds, Margaget</t>
  </si>
  <si>
    <t>A geometric and dosimetric comparison of three AI-based autocontouring packages in the head and neck region</t>
  </si>
  <si>
    <t>JOURNAL OF RADIOTHERAPY IN PRACTICE</t>
  </si>
  <si>
    <t>AI; autocontouring; artificial intelligence; efficiency and quality; head and neck cancer</t>
  </si>
  <si>
    <t>AUTO-SEGMENTATION SOFTWARE; ORGANS; TIME; RISK; RADIOTHERAPY; CONSISTENCY; OUTCOMES</t>
  </si>
  <si>
    <t>Introduction: AI-based autocontouring products claim to be able to segment organs with accuracy comparable to humans. We compare the geometric and dosimetric performance of three AI-based autocontouring packages (Autocontour 2.5.6, (RF); Annotate 2.3.1, (TP) and RT-Mind_AI 1.0, (MM)) in the head and neck region. Methods: We generated 14 organ at risk (OAR) autocontours on 13 computed tomography (CT) image sets. They were compared with clinical (human-generated) contours. The geometric differences were quantified by calculating Dice coefficients and Hausdorff distances. The autocontours were compared visually with the clinical controus by an expert physician. The autocontour sets were also ranked for accuracy by two physicians. The dosimetric effects were evaluated by recalculating treatment plans on the autocontoured CT sets. Results: RF and TP slightly outperformed MM in geometric metrics (the percentage of OARs having mean Dice coefficients &gt; 0.7 was RF 57.1 %, TP 64.3 % and MM 50.0%). The physician judged RF and TP contours to be more anatomically accurate, on average, than the manual contours (manual contour mean accuracy score 2.49, RF 2.28, MM 3.24, TP 1.93). The mean scores given to the autocontours by the two physicians were better for RF and TP, compared to MM (RF 1.86, MM 2.36, TP 1.77). The dosimetric differences were similar for all three programs and were not strongly correlated with the geometric differences. Conclusions: The performance of the three autocontouring packages in the head and neck region is similar, with TP and RF slightly outperforming MM. The correlation between geometric and dosimetric metrics is not strong, and dosimetric evaluation is therefore recommended before clinical use of autocontouring software.</t>
  </si>
  <si>
    <t>[Sillanpaa, Jussi; Sood, Amit; Reynolds, Margaget] Univ Minnesota, Dept Radiat Oncol, 420 Delaware St SE, Minneapolis, MN 55455 USA</t>
  </si>
  <si>
    <t>Sillanpaa, J (автор для корреспонденции), Univ Minnesota, Dept Radiat Oncol, 420 Delaware St SE, Minneapolis, MN 55455 USA.</t>
  </si>
  <si>
    <t>silla032@umn.edu</t>
  </si>
  <si>
    <t>1460-3969</t>
  </si>
  <si>
    <t>1467-1131</t>
  </si>
  <si>
    <t>AUG 6</t>
  </si>
  <si>
    <t>e33</t>
  </si>
  <si>
    <t>10.1017/S1460396925100204</t>
  </si>
  <si>
    <t>Radiology, Nuclear Medicine &amp; Medical Imaging</t>
  </si>
  <si>
    <t>WOS:001545440200001</t>
  </si>
  <si>
    <t>Schuessler, M; Fleming, S; Meyer, S; Seto, T; Hernandez-Boussard, T</t>
  </si>
  <si>
    <t>Schuessler, Maximilian; Fleming, Scott; Meyer, Shannon; Seto, Tina; Hernandez-Boussard, Tina</t>
  </si>
  <si>
    <t>Diagnostic framework to validate clinical machine learning models locally on temporally stamped data</t>
  </si>
  <si>
    <t>COMMUNICATIONS MEDICINE</t>
  </si>
  <si>
    <t>ARTIFICIAL-INTELLIGENCE; SHIFT</t>
  </si>
  <si>
    <t>BackgroundReal-world medical environments such as oncology are highly dynamic due to rapid changes in medical practice, technologies, and patient characteristics. This variability, if not addressed, can result in data shifts with potentially poor model performance. Presently, there are few easy-to-implement, model-agnostic diagnostic frameworks to vet machine learning models for future applicability and temporal consistency.MethodsWe extracted clinical data from EHR for a cohort of over 24,000 patients who received antineoplastic therapy within a distinct year. The label of this study are acute care utilization (ACU) events, i.e., emergency department visits and hospitalizations, within 180 days of treatment initiation. Our cross-sectional data spans treatment initiation points from 2010-2022. We implemented three models within our validation framework: Least Absolute Shrinkage and Selection Operator (LASSO), Random Forest (RF), and Extreme Gradient Boosting (XGBoost).ResultsHere, we introduce a model-agnostic diagnostic framework to validate clinical machine learning models on time-stamped data, consisting of four stages. First, the framework evaluates performance by partitioning data from multiple years into training and validation cohorts. Second, it characterizes the temporal evolution of patient outcomes and characteristics. Third, model longevity and trade-offs between data quantity and recency are explored. Finally, feature importance and data valuation algorithms are applied for feature reduction and data quality assessment. When applied to predicting ACU in cancer patients, the framework highlights fluctuations in features, labels, and data values over time.ConclusionsThe work in this study emphasizes the importance of data timeliness and relevance. The results on ACU in cancer patients show moderate signs of drift and corroborate the relevance of temporal considerations when validating machine learning models for deployment at the point of care.</t>
  </si>
  <si>
    <t>[Schuessler, Maximilian; Fleming, Scott; Hernandez-Boussard, Tina] Stanford Univ, Dept Biomed Data Sci, Stanford, CA 94305 USA; [Meyer, Shannon] Stanford Univ, Dept Stat, Stanford, CA USA; [Seto, Tina] Stanford Hlth Care, Res Technol, Stanford, CA USA; [Hernandez-Boussard, Tina] Stanford Univ, Dept Med, Stanford, CA 94305 USA; [Hernandez-Boussard, Tina] Stanford Univ, Dept Surg, Stanford, CA 94305 USA</t>
  </si>
  <si>
    <t>Hernandez-Boussard, T (автор для корреспонденции), Stanford Univ, Dept Biomed Data Sci, Stanford, CA 94305 USA.;Hernandez-Boussard, T (автор для корреспонденции), Stanford Univ, Dept Med, Stanford, CA 94305 USA.;Hernandez-Boussard, T (автор для корреспонденции), Stanford Univ, Dept Surg, Stanford, CA 94305 USA.</t>
  </si>
  <si>
    <t>boussard@stanford.edu</t>
  </si>
  <si>
    <t>Hernandez-Boussard, Tina/0000-0001-6553-3455</t>
  </si>
  <si>
    <t>2730-664X</t>
  </si>
  <si>
    <t>JUL 1</t>
  </si>
  <si>
    <t>10.1038/s43856-025-00965-w</t>
  </si>
  <si>
    <t>Medicine, Research &amp; Experimental</t>
  </si>
  <si>
    <t>WOS:001520939700001</t>
  </si>
  <si>
    <t>Hu, C; Xia, YD; Zheng, ZL; Cao, MX; Zheng, GL; Chen, SQ; Sun, JC; Chen, WJ; Zheng, Q; Pan, SW; Zhang, YQ; Chen, JH; Yu, PF; Xu, JL; Xu, JW; Qiu, ZW; Lin, TC; Yun, BX; Yao, JW; Guo, WC; Gao, C; Kong, XH; Chen, KD; Wen, ZL; Zhu, GX; Qiao, JF; Pan, YB; Li, H; Gong, XJ; Ye, ZS; Ao, WQ; Zhang, L; Yan, X; Tong, YH; Yang, XX; Zheng, XZ; Fan, SF; Cao, JL; Yan, C; Xie, KJ; Zhang, SJ; Wang, Y; Zheng, L; Wu, YJ; Ge, ZF; Tian, XY; Zhang, X; Wang, Y; Zhang, RL; Wei, YZ; Zhu, WW; Zhang, JF; Qiu, HJ; Su, MG; Shi, L; Xu, ZY; Zhang, L; Cheng, XD</t>
  </si>
  <si>
    <t>Hu, Can; Xia, Yingda; Zheng, Zhilin; Cao, Mengxuan; Zheng, Guoliang; Chen, Shangqi; Sun, Jiancheng; Chen, Wujie; Zheng, Qi; Pan, Siwei; Zhang, Yanqiang; Chen, Jiahui; Yu, Pengfei; Xu, Jingli; Xu, Jianwei; Qiu, Zhongwei; Lin, Tiancheng; Yun, Boxiang; Yao, Jiawen; Guo, Wenchao; Gao, Chen; Kong, Xianghui; Chen, Keda; Wen, Zhengle; Zhu, Guanxia; Qiao, Jinfang; Pan, Yibo; Li, Huan; Gong, Xijun; Ye, Zaisheng; Ao, Weiqun; Zhang, Lei; Yan, Xing; Tong, Yahan; Yang, Xinxin; Zheng, Xiaozhong; Fan, Shufeng; Cao, Jielu; Yan, Cheng; Xie, Kangjie; Zhang, Shengjie; Wang, Yao; Zheng, Lin; Wu, Yingjie; Ge, Zufeng; Tian, Xiyuan; Zhang, Xin; Wang, Yan; Zhang, Ruolan; Wei, Yizhou; Zhu, Weiwei; Zhang, Jianfeng; Qiu, Hanjun; Su, Miaoguang; Shi, Lei; Xu, Zhiyuan; Zhang, Ling; Cheng, Xiangdong</t>
  </si>
  <si>
    <t>AI-based large-scale screening of gastric cancer from noncontrast CT imaging</t>
  </si>
  <si>
    <t>NATURE MEDICINE</t>
  </si>
  <si>
    <t>SURVIVAL; IMPROVES; DISEASE; TRENDS; DNA</t>
  </si>
  <si>
    <t>Early detection through screening is critical for reducing gastric cancer (GC) mortality. However, in most high-prevalence regions, large-scale screening remains challenging due to limited resources, low compliance and suboptimal detection rate of upper endoscopic screening. Therefore, there is an urgent need for more efficient screening protocols. Noncontrast computed tomography (CT), routinely performed for clinical purposes, presents a promising avenue for large-scale designed or opportunistic screening. Here we developed the Gastric Cancer Risk Assessment Procedure with Artificial Intelligence (GRAPE), leveraging noncontrast CT and deep learning to identify GC. Our study comprised three phases. First, we developed GRAPE using a cohort from 2 centers in China (3,470 GC and 3,250 non-GC cases) and validated its performance on an internal validation set (1,298 cases, area under curve = 0.970) and an independent external cohort from 16 centers (18,160 cases, area under curve = 0.927). Subgroup analysis showed that the detection rate of GRAPE increased with advancing T stage but was independent of tumor location. Next, we compared the interpretations of GRAPE with those of radiologists and assessed its potential in assisting diagnostic interpretation. Reader studies demonstrated that GRAPE significantly outperformed radiologists, improving sensitivity by 21.8% and specificity by 14.0%, particularly in early-stage GC. Finally, we evaluated GRAPE in real-world opportunistic screening using 78,593 consecutive noncontrast CT scans from a comprehensive cancer center and 2 independent regional hospitals. GRAPE identified persons at high risk with GC detection rates of 24.5% and 17.7% in 2 regional hospitals, with 23.2% and 26.8% of detected cases in T1/T2 stage. Additionally, GRAPE detected GC cases that radiologists had initially missed, enabling earlier diagnosis of GC during follow-up for other diseases. In conclusion, GRAPE demonstrates strong potential for large-scale GC screening, offering a feasible and effective approach for early detection. ClinicalTrials.gov registration: NCT06614179.</t>
  </si>
  <si>
    <t>[Hu, Can; Pan, Siwei; Zhang, Yanqiang; Chen, Jiahui; Yu, Pengfei; Xu, Jingli; Zhang, Ruolan; Wei, Yizhou; Zhu, Weiwei; Xu, Zhiyuan; Cheng, Xiangdong] Chinese Acad Sci, Zhejiang Canc Hosp, Hangzhou Inst Med HIM, Dept Gastr Surg, Hangzhou, Peoples R China; [Hu, Can; Xie, Kangjie; Zhang, Shengjie; Xu, Zhiyuan; Cheng, Xiangdong] Zhejiang Canc Hosp, Zhejiang Prov Res Ctr Upper Gastrointestinal Trac, Hangzhou, Peoples R China; [Hu, Can; Xu, Zhiyuan; Cheng, Xiangdong] Key Lab Prevent Diag &amp; Therapy Upper Gastrointest, Hangzhou, Peoples R China; [Xia, Yingda; Zhang, Ling] Alibaba Grp, DAMO Acad, Seattle, WA 20549 USA; [Xia, Yingda; Zheng, Zhilin; Xu, Jianwei; Qiu, Zhongwei; Lin, Tiancheng; Yun, Boxiang; Yao, Jiawen; Guo, Wenchao; Zhang, Jianfeng; Zhang, Ling] Hupan Lab, Hangzhou, Peoples R China; [Zheng, Zhilin; Xu, Jianwei; Qiu, Zhongwei; Lin, Tiancheng; Yun, Boxiang; Yao, Jiawen; Guo, Wenchao; Zhang, Jianfeng] Alibaba Grp, DAMO Acad, Hangzhou, Peoples R China; [Cao, Mengxuan; Chen, Wujie; Zhang, Lei; Yan, Xing; Tong, Yahan; Shi, Lei] Chinese Acad Sci, Zhejiang Canc Hosp, Hangzhou Inst Med HIM, Dept Radiol, Hangzhou, Peoples R China; [Zheng, Guoliang] Liaoning Canc Hosp, Dept Gastr Surg, Shenyang, Peoples R China; [Chen, Shangqi; Zheng, Qi] Ningbo Second Hosp, Dept Gastrointestinal Surg, Ningbo, Peoples R China; [Sun, Jiancheng] Wenzhou Med Univ, Affiliated Hosp 1, Dept Gastrointestinal Surg, Wenzhou, Peoples R China; [Gao, Chen] Zhejiang Chinese Med Univ, Affiliated Hosp 1, Dept Radiol, Hangzhou, Peoples R China; [Kong, Xianghui; Chen, Keda] Wenzhou Peoples Hosp, Dept Urol, Wenzhou, Peoples R China; [Wen, Zhengle] Pingyang People's Hosp, Dept Urol, Wenzhou, Peoples R China; [Zhu, Guanxia] Longgang Peoples Hosp, Dept Radiol, Wenzhou, Peoples R China; [Qiao, Jinfang] Yuyao Peoples Hosp, Dept Radiol, Ningbo, Peoples R China; [Pan, Yibo] Cixi Peoples Hosp, Dept Radiol, Ningbo, Peoples R China; [Li, Huan; Gong, Xijun] Anhui Med Univ, Affiliated Hosp 2, Dept Radiol, Hefei, Peoples R China; [Ye, Zaisheng] Fujian Canc Hosp, Dept Gastr Surg, Fuzhou, Peoples R China; [Ao, Weiqun] Tongde Hosp Zhejiang Prov, Dept Radiol, Hangzhou, Peoples R China; [Yang, Xinxin] First Peoples Hosp Linping Dist, Dept Hematol, Hangzhou, Peoples R China; [Zheng, Xiaozhong; Fan, Shufeng; Cao, Jielu] Zhejiang Chinese Med Univ, Affiliated Hosp 2, Dept Radiol, Hangzhou, Peoples R China; [Yan, Cheng] Peoples Hosp Qiannan, Dept Gastrointestinal Surg, Duyun, Peoples R China; [Wang, Yao] Huzhou Peoples Hosp, Dept Gastrointestinal Surg, Huzhou, Peoples R China; [Zheng, Lin] Taizhou Canc Hosp, Dept Radiat Oncol, Wenling, Peoples R China; [Wu, Yingjie] Yinzhou Peoples Hosp, Dept Gastrointestinal Surg, Ningbo, Peoples R China; [Ge, Zufeng; Tian, Xiyuan] Fenghua Peoples Hosp, Dept Radiol, Ningbo, Peoples R China; [Zhang, Xin] China Med Univ, Shengjing Hosp, Dept Nucl Med, Shenyang, Peoples R China; [Wang, Yan] East China Normal Univ, Sch Commun &amp; Elect Engn, Shanghai, Peoples R China; [Qiu, Hanjun] Fenghua Peoples Hosp, Dept Orthoped, Ningbo, Peoples R China; [Su, Miaoguang] Pingyang Peoples Hosp, Dept Radiol, Wenzhou, Peoples R China</t>
  </si>
  <si>
    <t>Xu, ZY; Cheng, XD (автор для корреспонденции), Chinese Acad Sci, Zhejiang Canc Hosp, Hangzhou Inst Med HIM, Dept Gastr Surg, Hangzhou, Peoples R China.;Xu, ZY; Cheng, XD (автор для корреспонденции), Zhejiang Canc Hosp, Zhejiang Prov Res Ctr Upper Gastrointestinal Trac, Hangzhou, Peoples R China.;Xu, ZY; Cheng, XD (автор для корреспонденции), Key Lab Prevent Diag &amp; Therapy Upper Gastrointest, Hangzhou, Peoples R China.;Zhang, L (автор для корреспонденции), Alibaba Grp, DAMO Acad, Seattle, WA 20549 USA.;Zhang, L (автор для корреспонденции), Hupan Lab, Hangzhou, Peoples R China.;Shi, L (автор для корреспонденции), Chinese Acad Sci, Zhejiang Canc Hosp, Hangzhou Inst Med HIM, Dept Radiol, Hangzhou, Peoples R China.;Qiu, HJ (автор для корреспонденции), Fenghua Peoples Hosp, Dept Orthoped, Ningbo, Peoples R China.;Su, MG (автор для корреспонденции), Pingyang Peoples Hosp, Dept Radiol, Wenzhou, Peoples R China.</t>
  </si>
  <si>
    <t>289971282@qq.com; 39265825@qq.com; shilei@zjcc.org.cn; xuzy@zjcc.org.cn; ling.z@alibaba-inc.com; chengxd@zjcc.org.cn</t>
  </si>
  <si>
    <t>zhu, weiwei/HGE-2866-2022; Zheng, zhilin/JHS-7193-2023; Cao, Jielu/GQP-9136-2022; Lin, Tiancheng/JFJ-2239-2023; shengjie, zhang/S-3140-2018; 姚, 佳文/T-2394-2019; Chen, Wujie/HKO-4671-2023; Zheng, Guoliang/MGU-5124-2025; Xie, Lingxi/ABF-6996-2020</t>
  </si>
  <si>
    <t>1078-8956</t>
  </si>
  <si>
    <t>1546-170X</t>
  </si>
  <si>
    <t>2025 JUN 24</t>
  </si>
  <si>
    <t>10.1038/s41591-025-03785-6</t>
  </si>
  <si>
    <t>JUN 2025</t>
  </si>
  <si>
    <t>Biochemistry &amp; Molecular Biology; Cell Biology; Medicine, Research &amp; Experimental</t>
  </si>
  <si>
    <t>WOS:001514326800001</t>
  </si>
  <si>
    <t>Shahid, F; Hsu, MH; Chang, YC; Jian, WS</t>
  </si>
  <si>
    <t>Shahid, Fahad; Hsu, Min-Huei; Chang, Yung-Chun; Jian, Wen-Shan</t>
  </si>
  <si>
    <t>Using Generative AI to Extract Structured Information from Free Text Pathology Reports</t>
  </si>
  <si>
    <t>JOURNAL OF MEDICAL SYSTEMS</t>
  </si>
  <si>
    <t>Artificial Intelligence; Breast Cancer; ChatGPT; Free-text Pathology Reports; Generative AI; Information Extraction; Large Language Models; Streamlit</t>
  </si>
  <si>
    <t>Manually converting unstructured text pathology reports into structured pathology reports is very time-consuming and prone to errors. This study demonstrates the transformative potential of generative AI in automating the analysis of free-text pathology reports. Employing the ChatGPT Large Language Model within a Streamlit web application, we automated the extraction and structuring of information from 33 unstructured breast cancer pathology reports from Taipei Medical University Hospital. Achieving a 99.61% accuracy rate, the AI system notably reduced the processing time compared to traditional methods. This not only underscores the efficacy of AI in converting unstructured medical text into structured data but also highlights its potential to enhance the efficiency and reliability of medical text analysis. However, this study is limited to breast cancer pathology reports and was conducted using data obtained from hospitals associated with a single institution. In the future, we plan to expand the scope of this research to include pathology reports for other cancer types incrementally and conduct external validation to further substantiate the robustness and generalizability of the proposed system. Through this technological integration, we aimed to substantiate the capabilities of generative AI in improving both the speed and reliability of data processing. The outcomes of this study affirm that generative AI can significantly transform the handling of pathology reports, promising substantial advancements in biomedical research by facilitating the structured analysis of complex medical data.</t>
  </si>
  <si>
    <t>[Shahid, Fahad; Hsu, Min-Huei; Chang, Yung-Chun; Jian, Wen-Shan] Taipei Med Univ, Grad Inst Data Sci, Coll Management, Taipei, Taiwan; [Hsu, Min-Huei] Taipei Med Univ, Dept Neurosurg, Shuang Ho Hosp, Taipei, Taiwan; [Hsu, Min-Huei; Chang, Yung-Chun; Jian, Wen-Shan] Taipei Med Univ, Int Ph D Program Biotech &amp; Healthcare Management, Taipei, Taiwan; [Hsu, Min-Huei; Chang, Yung-Chun; Jian, Wen-Shan] Taipei Med Univ, Sch Healthcare Adm, Taipei, Taiwan; [Hsu, Min-Huei; Chang, Yung-Chun; Jian, Wen-Shan] Taipei Med Univ, Profess Master Program Artificial Intelligence Med, Taipei, Taiwan</t>
  </si>
  <si>
    <t>Shahid, F; Hsu, MH (автор для корреспонденции), Taipei Med Univ, Grad Inst Data Sci, Coll Management, Taipei, Taiwan.;Hsu, MH (автор для корреспонденции), Taipei Med Univ, Dept Neurosurg, Shuang Ho Hosp, Taipei, Taiwan.;Hsu, MH (автор для корреспонденции), Taipei Med Univ, Int Ph D Program Biotech &amp; Healthcare Management, Taipei, Taiwan.;Hsu, MH (автор для корреспонденции), Taipei Med Univ, Sch Healthcare Adm, Taipei, Taiwan.;Hsu, MH (автор для корреспонденции), Taipei Med Univ, Profess Master Program Artificial Intelligence Med, Taipei, Taiwan.</t>
  </si>
  <si>
    <t>fahad1.shahid@gmail.com; 701056@tmu.edu.tw</t>
  </si>
  <si>
    <t>0148-5598</t>
  </si>
  <si>
    <t>1573-689X</t>
  </si>
  <si>
    <t>MAR 13</t>
  </si>
  <si>
    <t>10.1007/s10916-025-02167-2</t>
  </si>
  <si>
    <t>Health Care Sciences &amp; Services; Medical Informatics</t>
  </si>
  <si>
    <t>WOS:001444041000001</t>
  </si>
  <si>
    <t>Lu, YX; Wang, HH; Zeng, Z; Hui, JN; Ji, JY; Mao, HJ; Shi, Q; Yang, XY</t>
  </si>
  <si>
    <t>Lu, Yunxing; Wang, Haihui; Zeng, Zhou; Hui, Jianan; Ji, Jiangyu; Mao, Hongju; Shi, Qiang; Yang, Xiaoyue</t>
  </si>
  <si>
    <t>A deep learning-based integrated analytical system for tumor exosome on-chip isolation and automated image identification</t>
  </si>
  <si>
    <t>TALANTA OPEN</t>
  </si>
  <si>
    <t>Exosomes; Microfluidic chip; Deep learning; Integrated system</t>
  </si>
  <si>
    <t>CANCER; CELLS; RNA</t>
  </si>
  <si>
    <t>Exosomes are nanoscale lipid-bound vesicles secreted by various types of parent cells into the extracellular environment. They carry a wide range of bioactive molecules and serve as a crucial role in intercellular communication and tumor progression. Here, we develop an integrated microfluidic system for on-chip exosome isolation and quantum dot-based tumor marker analysis. This system integrates exosome processing and marker abundance analysis within a centimeter-scaled microfluidic chip, eliminating the need for additional off-chip treatments. We also implement YOLO v8-based image identification for sensitive and automatic detection, reducing the limit of detection (LOD) to 8.65 per microliter while minimizing manual measurement errors. Using this system, two tumor markers among four cell lines were profiled in parallel, revealing unique tumor burdens and demonstrating strong consistency with approved serological marker testing. These results highlight the potential of this technique for sensitive, precise, and automatic exosome tumor detection, paving the way for early cancer diagnosis and analysis.</t>
  </si>
  <si>
    <t>[Lu, Yunxing; Wang, Haihui; Zeng, Zhou; Shi, Qiang] Shanghai Open Univ, Sch Sci &amp; Technol, Shanghai 200433, Peoples R China; [Hui, Jianan; Ji, Jiangyu; Mao, Hongju] Chinese Acad Sci, Shanghai Inst Microsyst &amp; Informat Technol, State Key Lab Transducer Technol, Shanghai 200050, Peoples R China; [Hui, Jianan; Mao, Hongju] Univ Chinese Acad Sci, Ctr Mat Sci &amp; Optoelect Engn, Beijing 100049, Peoples R China; [Ji, Jiangyu] Dalian Med Univ, Sch Stomatol, Dalian 116044, Peoples R China; [Yang, Xiaoyue] Shanghai Jiao Tong Univ, Int Peace Matern &amp; Child Hlth Hosp, Sch Med, Shanghai 200030, Peoples R China; [Yang, Xiaoyue] Shanghai Key Lab Embryo Original Dis, Shanghai 200030, Peoples R China</t>
  </si>
  <si>
    <t>Shi, Q (автор для корреспонденции), Shanghai Open Univ, Sch Sci &amp; Technol, Shanghai 200433, Peoples R China.;Mao, HJ (автор для корреспонденции), Chinese Acad Sci, Shanghai Inst Microsyst &amp; Informat Technol, State Key Lab Transducer Technol, Shanghai 200050, Peoples R China.;Yang, XY (автор для корреспонденции), Shanghai Key Lab Embryo Original Dis, Shanghai 200030, Peoples R China.</t>
  </si>
  <si>
    <t>hjmao@mail.sim.ac.cn; xyshiqiang@163.com; yangxiaoyue@sjtu.edu.cn</t>
  </si>
  <si>
    <t>Yang, Xiaoyue/IUM-3123-2023; Mao, Hongju/MGU-5296-2025</t>
  </si>
  <si>
    <t>2666-8319</t>
  </si>
  <si>
    <t>AUG</t>
  </si>
  <si>
    <t>10.1016/j.talo.2025.100398</t>
  </si>
  <si>
    <t>JAN 2025</t>
  </si>
  <si>
    <t>Chemistry, Analytical</t>
  </si>
  <si>
    <t>WOS:001411185500001</t>
  </si>
  <si>
    <t>Zhang, F; Qi, F; Sun, MY; Jiang, P; Zhang, MH; Li, XM; Dong, YJ; Du, J; Li, L; Zhang, TM</t>
  </si>
  <si>
    <t>Zhang, Fan; Qi, Fei; Sun, Mengyan; Jiang, Peng; Zhang, Minghang; Li, Xiaomi; Dong, Yujie; Du, Juan; Li, Liang; Zhang, Tongmei</t>
  </si>
  <si>
    <t>Establishment and validation of a convenient and efficient screening tool for active pulmonary tuberculosis in lung cancer patients based on common parameters</t>
  </si>
  <si>
    <t>THERAPEUTIC ADVANCES IN MEDICAL ONCOLOGY</t>
  </si>
  <si>
    <t>coexistent pulmonary tuberculosis and lung cancer; lung cancer; machine learning; random forest; screening model</t>
  </si>
  <si>
    <t>RISK</t>
  </si>
  <si>
    <t>Background: Coexistent pulmonary tuberculosis and lung cancer (PTB-LC) is a rare type of disease with frequent under- and/or mis-diagnosis. Establishment of a reliable screening model for PTB-LC holds considerable medical and economic significance.Objectives: We aimed to develop an efficient and convenient tool to identify high-risk individuals for tuberculosis (TB) infection among LC patients based on commonly available parameters in clinical practice.Design: This study consisted of a primary retrospective patient cohort for model construction and verification, and a prospective patient cohort for prospective validation.Methods: Patients with active PTB-LC and LC diagnosed in Beijing Chest Hospital from 2018 to 2022 were collected and 1:1 matched according to time of admission and were classified into a training set (n = 281) and testing set (n = 121). Baseline information, clinicopathological features, imaging manifestations, and blood testing results were collected and analyzed. Five machine learning methods, including logistic regression (LR), random forest (RF), support vector machine (SVM), decision tree (DT), and neural network (NN), were employed to develop a screening model for PTB-LC.Results: Through multivariable analysis, gender, pleural effusion, cavitation, monocyte count (MONO), and plasma adenosine deaminase (ADA) levels were identified as independent predictors of PTB-LC and included in model construction. LR, RF, SVM, DT, and NN were used to construct the screening or pre-diagnosis models. The RF demonstrated the best performance with an area under the curve of 0.966 in the training set, 0.817 in the testing set, and 0.805 in the prospective dataset. The accuracy, precision, recall, and F1 score of the RF model of the training set were 0.88, 0.87, 0.89, and 0.88, respectively, and these indicators of the testing set were 0.71, 0.75, 0.72, and 0.74, respectively, which were superior to those of other methods. The prospective cohort further validated the good performance of the screening model. We also established a nomogram with gender, pleural effusion, cavitation, MONO, and serum ADA in assessing high-risk patients of developing TB infection. Further TB-related diagnostic tests were recommended for these high-risk patients.Conclusion: The RF screening model constructed with gender, pleural effusion, cavitation, MONO, and ADA may help identify high-risk patients of PTB-LC from LC alone cases.</t>
  </si>
  <si>
    <t>[Zhang, Fan; Li, Liang] Capital Med Univ, Beijing Chest Hosp, Beijing TB &amp; Thorac Tumor Res Inst, 9 Beiguan St, Beijing 101149, Peoples R China; [Zhang, Fan; Li, Liang] Shandong Univ, Cheeloo Coll Med, Sch Publ Hlth, Dept Epidemiol, Jinan, Peoples R China; [Zhang, Fan; Qi, Fei; Jiang, Peng; Zhang, Minghang; Li, Xiaomi; Zhang, Tongmei] Capital Med Univ, Beijing Chest Hosp, Beijing TB &amp; Thorac Tumor Res Inst, Gen Dept, 9 Beiguan St, Beijing 101149, Peoples R China; [Qi, Fei; Zhang, Tongmei] Capital Med Univ, Lab Clin Med, Beijing, Peoples R China; [Sun, Mengyan] Shenzhen Guangming Dist Peoples Hosp, Dept Stomatol, Shenzhen, Guangdong, Peoples R China; [Dong, Yujie; Du, Juan] Capital Med Univ, Beijing Chest Hosp, Beijing TB &amp; Thorac Tumor Res Inst, Dept Radiol, Beijing, Peoples R China</t>
  </si>
  <si>
    <t>Li, L (автор для корреспонденции), Capital Med Univ, Beijing Chest Hosp, Beijing TB &amp; Thorac Tumor Res Inst, 9 Beiguan St, Beijing 101149, Peoples R China.;Li, L (автор для корреспонденции), Shandong Univ, Cheeloo Coll Med, Sch Publ Hlth, Dept Epidemiol, Jinan, Peoples R China.;Zhang, TM (автор для корреспонденции), Capital Med Univ, Beijing Chest Hosp, Beijing TB &amp; Thorac Tumor Res Inst, Gen Dept, 9 Beiguan St, Beijing 101149, Peoples R China.;Zhang, TM (автор для корреспонденции), Capital Med Univ, Lab Clin Med, Beijing, Peoples R China.</t>
  </si>
  <si>
    <t>liliang69@vip.sina.com; tongmeibj@163.com</t>
  </si>
  <si>
    <t>1758-8340</t>
  </si>
  <si>
    <t>1758-8359</t>
  </si>
  <si>
    <t>10.1177/17588359251355058</t>
  </si>
  <si>
    <t>Oncology</t>
  </si>
  <si>
    <t>WOS:001535019200001</t>
  </si>
  <si>
    <t>Nechifor-Boila, IA; Nechifor-Boila, A; Loghin, A; Mihu, CM; Melincovici, CS; Onofrei, MM; Chibelean, CB; Martha, O; Borda, A</t>
  </si>
  <si>
    <t>Nechifor-Boila, Ioan Alin; Nechifor-Boila, Adela; Loghin, Andrada; Mihu, Carmen Mihaela; Melincovici, Carmen Stanca; Onofrei, Madalin Mihai; Chibelean, Calin Bogdan; Martha, Orsolya; Borda, Angela</t>
  </si>
  <si>
    <t>Artificial Intelligence (AI) for Programmed Death Ligand-1 (PD-L1) Immunohistochemical Assessment in Urothelial Carcinomas: Teaching Cell Differentiation to AI Systems</t>
  </si>
  <si>
    <t>LIFE-BASEL</t>
  </si>
  <si>
    <t>PD-L1; bladder cancer; immunohistochemistry; artificial intelligence; QuPath; whole slide imaging</t>
  </si>
  <si>
    <t>Assessment of Programmed Death-Ligand 1 (PD-L1) immunohistochemical (IHC) expression on tumor cells (TCs) and immune cells (ICs) in bladder cancer (BC) is challenging. Artificial Intelligence (AI) has potential for accurate PD-L1 IHC scoring, but its efficiency remains debatable. Our aim was to compare two AI protocols provided by the free QuPath software (v0.5.1) (Selected Area Interpretation (AI-SAI) and Whole Slide Imaging (AI-WSI)) with manual PD-L1 IHC scoring. A total of 43 BCs were included. PD-L1 IHC was performed using the SP263 clone. The IHC slides were digitized and further imported into QuPath. The PD-L1 positivity threshold was set at 25%. Statistically significant correlations were observed between AI-SAI and manual interpretation for both TCs (r = 0.85) and ICs (r = 0.57). AI-WSI yielded comparable results, with correlation coefficients of r = 0.82 for TCs and r = 0.56 for ICs. However, AI-SAI demonstrated stronger agreement with manual assessment (kappa = 0.86) compared to AI-WSI (kappa = 0.65). Receiver Operating Characteristic (ROC) analysis further supported the superiority of AI-SAI, with higher AUC values for both TCs (0.96 vs. 0.92) and ICs (0.92 vs. 0.90). Our findings indicate that AI-SAI is preferable to AI-WSI, particularly in BC cases with high PD-L1-positive TC content. Nevertheless, supervision by an experienced pathologist is mandatory.</t>
  </si>
  <si>
    <t>[Nechifor-Boila, Ioan Alin] George Emil Palade Univ Med Pharm Sci &amp; Technol Ta, Dept Anat &amp; Embryol, 38th Gh Marinescu St, Targu Mures 540142, Romania; [Nechifor-Boila, Ioan Alin; Chibelean, Calin Bogdan; Martha, Orsolya] Targu Mures Cty Hosp, Dept Urol, 1st Gh Marinescu St, Targu Mures 540103, Romania; [Nechifor-Boila, Adela; Loghin, Andrada; Borda, Angela] George Emil Palade Univ Med Pharm Sci &amp; Technol Ta, Ctr Adv Med &amp; Pharmaceut Res, Dept Histol, 38th Gh Marinescu St, Targu Mures 540142, Romania; [Nechifor-Boila, Adela; Loghin, Andrada] Targu Mures Cty Hosp, Dept Pathol, 28 1st December 1918 Blvd, Targu Mures 540011, Romania; [Mihu, Carmen Mihaela; Melincovici, Carmen Stanca; Onofrei, Madalin Mihai] Iuliu Hatieganu Univ Med &amp; Pharm, Dept Morpho Funct Sci, Discipline Histol, Cluj Napoca 400349, Romania; [Borda, Angela] Targu Mures Emergency Cty Hosp, Dept Pathol, 50th Gh Marinescu St, Targu Mures 540136, Romania</t>
  </si>
  <si>
    <t>Nechifor-Boila, A (автор для корреспонденции), George Emil Palade Univ Med Pharm Sci &amp; Technol Ta, Ctr Adv Med &amp; Pharmaceut Res, Dept Histol, 38th Gh Marinescu St, Targu Mures 540142, Romania.;Nechifor-Boila, A (автор для корреспонденции), Targu Mures Cty Hosp, Dept Pathol, 28 1st December 1918 Blvd, Targu Mures 540011, Romania.</t>
  </si>
  <si>
    <t>ioan.nechifor-boila@umfst.ro; adela.nechifor-boila@umfst.ro; andrada.loghin@umfst.ro; carmenmihu@umfcluj.ro; carmen.melincovici@umfcluj.ro; madalin.onofrei@umfcluj.ro; calin.chibelean@umfst.ro; orsolya.martha@umfst.ro; angela.borda@umfst.ro</t>
  </si>
  <si>
    <t>Melincovici, Carmen/HCH-8209-2022; Onofrei, Madalin/IAN-3167-2023; Nechifor-Boila, Ioan/AAB-4889-2021; Martha, Orsolya/AAG-1786-2020; mihu, carmen/C-2936-2012</t>
  </si>
  <si>
    <t>2075-1729</t>
  </si>
  <si>
    <t>MAY 22</t>
  </si>
  <si>
    <t>10.3390/life15060839</t>
  </si>
  <si>
    <t>Biology; Microbiology</t>
  </si>
  <si>
    <t>Savchenko, T; Lakhtaryna, R; Denysenko, A; Dovbysh, A; Coupland, SE; Moskalenko, R</t>
  </si>
  <si>
    <t>Savchenko, Taras; Lakhtaryna, Ruslana; Denysenko, Anastasiia; Dovbysh, Anatoliy; Coupland, Sarah E.; Moskalenko, Roman</t>
  </si>
  <si>
    <t>An Information-Extreme Algorithm for Universal Nuclear Feature-Driven Automated Classification of Breast Cancer Cells</t>
  </si>
  <si>
    <t>DIAGNOSTICS</t>
  </si>
  <si>
    <t>breast cancer; automated classification; information-extreme algorithm; cytological features; histopathology; whole-slide imaging; machine learning; digital pathology</t>
  </si>
  <si>
    <t>IMAGE-ANALYSIS</t>
  </si>
  <si>
    <t>Background/Objectives: Breast cancer diagnosis heavily relies on histopathological assessment, which is prone to subjectivity and inefficiency, especially with whole-slide imaging (WSI). This study addressed these limitations by developing an automated breast cancer cell classification algorithm using an information-extreme machine learning approach and universal cytological features, aiming for objective and generalized histopathological diagnosis. Methods: Digitized histological images were processed to identify hyperchromatic cells. A set of 21 cytological features (10 geometric and 11 textural), chosen for their potential universality across cancers, were extracted from individual cells. These features were then used to classify cells as normal or malignant using an information-extreme algorithm. This algorithm optimizes an information criterion within a binary Hamming space to achieve robust recognition with minimal input features. The architectural innovation lies in the application of this information-extreme approach to cytological feature analysis for cancer cell classification. Results: The algorithm's functional efficiency was evaluated on a dataset of 176 labeled cell images, yielding promising results: an accuracy of 89%, a precision of 85%, a recall of 84%, and an F1-score of 88%. These metrics demonstrate a balanced and effective model for automated breast cancer cell classification. Conclusions: The proposed information-extreme algorithm utilizing universal cytological features offers a potentially objective and computationally efficient alternative to traditional methods and may mitigate some limitations of deep learning in histopathological analysis. Future work will focus on validating the algorithm on larger datasets and exploring its applicability to other cancer types.</t>
  </si>
  <si>
    <t>[Savchenko, Taras; Dovbysh, Anatoliy] Sumy State Univ, Dept Comp Sci, UA-40000 Sumy, Ukraine; [Lakhtaryna, Ruslana; Denysenko, Anastasiia; Moskalenko, Roman] Sumy State Univ, Dept Pathol, UA-40000 Sumy, Ukraine; [Coupland, Sarah E.] Univ Liverpool, Inst Life Course &amp; Med Sci, Dept Eye &amp; Vis Sci, Liverpool L69 7ZX, England</t>
  </si>
  <si>
    <t>Moskalenko, R (автор для корреспонденции), Sumy State Univ, Dept Pathol, UA-40000 Sumy, Ukraine.</t>
  </si>
  <si>
    <t>r.moskalenko@med.sumdu.edu.ua</t>
  </si>
  <si>
    <t>Denysenko, Anastasiia/LDF-0673-2024; Moskalenko, Roman/I-3208-2017; Savchenko, Taras/AAU-8261-2021</t>
  </si>
  <si>
    <t>Coupland, Sarah/0000-0002-1464-2069</t>
  </si>
  <si>
    <t>2075-4418</t>
  </si>
  <si>
    <t>MAY 30</t>
  </si>
  <si>
    <t>10.3390/diagnostics15111389</t>
  </si>
  <si>
    <t>Medicine, General &amp; Internal</t>
  </si>
  <si>
    <t>Rao, ZY; Wu, CY; Liao, YX; Ye, C; Huang, SD; Zhao, DY</t>
  </si>
  <si>
    <t>Rao, Ziyan; Wu, Chenyang; Liao, Yunxi; Ye, Chuan; Huang, Shaodong; Zhao, Dongyu</t>
  </si>
  <si>
    <t>POCALI: Prediction and Insight on CAncer LncRNAs by Integrating Multi-Omics Data with Machine Learning</t>
  </si>
  <si>
    <t>SMALL METHODS</t>
  </si>
  <si>
    <t>cancer lncRNA; computational biology; machine learning; model explanation; multi-omics</t>
  </si>
  <si>
    <t>LONG NONCODING RNA; IDENTIFICATION; GENOME; KNOWLEDGEBASE; IDENTIFY; REVEALS; NCRNA; CERNA</t>
  </si>
  <si>
    <t>Long non-coding RNAs (lncRNAs) are receiving increasing attention as biomarkers for cancer diagnosis and therapy. Although there are many computational methods to identify cancer lncRNAs, they do not comprehensively integrate multi-omics features for predictions or systematically evaluate the contribution of each omics to the multifaceted landscape of cancer lncRNAs. In this study, an algorithm, POCALI, is developed to identify cancer lncRNAs by integrating 44 omics features across six categories. The contributions of different omics are explored to identifying cancer lncRNAs and, more specifically, how each feature contributes to a single prediction. The model is evaluated and benchmarked POCALI with existing methods. Finally, the cancer phenotype and genomics characteristics of the predicted novel cancer lncRNAs are validated. POCALI identifies secondary structure and gene expression-related features as strong predictors of cancer lncRNAs, and epigenomic features as moderate predictors. POCALI performed better than other methods, especially in terms of sensitivity, and predicted more candidates. Novel POCALI-predicted cancer lncRNAs have strong relationships with cancer phenotypes, similar to known cancer lncRNAs. Overall, this study facilitates the identification of previously undetected cancer lncRNAs and the comprehensive exploration of the multifaceted feature contributions to cancer lncRNA prediction.</t>
  </si>
  <si>
    <t>[Rao, Ziyan; Wu, Chenyang; Liao, Yunxi; Ye, Chuan; Huang, Shaodong; Zhao, Dongyu] Peking Univ, Sch Basic Med Sci, Dept Biomed Informat, Beijing 100191, Peoples R China; [Rao, Ziyan; Wu, Chenyang; Liao, Yunxi; Ye, Chuan; Huang, Shaodong; Zhao, Dongyu] Peking Univ, State Key Lab Vasc Homeostasis &amp; Remodeling, Beijing 100191, Peoples R China</t>
  </si>
  <si>
    <t>Zhao, DY (автор для корреспонденции), Peking Univ, Sch Basic Med Sci, Dept Biomed Informat, Beijing 100191, Peoples R China.;Zhao, DY (автор для корреспонденции), Peking Univ, State Key Lab Vasc Homeostasis &amp; Remodeling, Beijing 100191, Peoples R China.</t>
  </si>
  <si>
    <t>zhao.dongyu@pku.edu.cn</t>
  </si>
  <si>
    <t>Zhao, Dongyu/ABA-2574-2020</t>
  </si>
  <si>
    <t>2366-9608</t>
  </si>
  <si>
    <t>2025 MAY 23</t>
  </si>
  <si>
    <t>10.1002/smtd.202401987</t>
  </si>
  <si>
    <t>MAY 2025</t>
  </si>
  <si>
    <t>Chemistry, Physical; Nanoscience &amp; Nanotechnology; Materials Science, Multidisciplinary</t>
  </si>
  <si>
    <t>WOS:001493111200001</t>
  </si>
  <si>
    <t>Amores-Carrera, L; Martín-Monzón, I</t>
  </si>
  <si>
    <t>Amores-Carrera, Laura; Martin-Monzon, Isabel</t>
  </si>
  <si>
    <t>Neuropsychological outcomes following awake surgery in adult glioma patients: A systematic review</t>
  </si>
  <si>
    <t>NEURO-ONCOLOGY PRACTICE</t>
  </si>
  <si>
    <t>awake craniotomy; cognitive functions; direct electrical stimulation; neuroplasticity; postoperative neuropsychological outcomes</t>
  </si>
  <si>
    <t>SURGICAL REMOVAL; BRAIN; NETWORK</t>
  </si>
  <si>
    <t>Background Awake craniotomy is essential for glioma resection in functionally integrated brain regions, allowing real-time monitoring to reduce cognitive and emotional deficits. Although widely used, its long-term neuropsychological effects remain debated. This systematic review aims to investigate cognitive and emotional outcomes after awake brain surgery and the factors that influence recovery, including extent of resection, follow-up timing, and neural plasticity.Methods This systematic review analyzes 34 studies on pre- and postoperative functional outcomes in glioma patients undergoing awake surgery. Following PRISMA guidelines, studies were selected with adult glioma patients (WHO grade I-IV) who had neuropsychological assessments before and after surgery. Data on preoperative cognitive profiles, recovery trajectories, and follow-up durations were examined, focusing on methodological consistency and assessment tools.Results The findings demonstrated substantial variability in functional outcomes, with many patients recovering within 3 to 6 months post-surgery, while others experienced persistent deficits. Functional recovery was influenced not only by the extent of tumor resection but also by network-level reorganization. Methodological inconsistencies in neuropsychological assessments highlighted the need for standardized, personalized evaluation protocols, emphasizing the importance of comprehensive functional assessments.Conclusions This review emphasizes the shift from a localized cortical approach to a dynamic, network-based view of cognitive and emotional recovery. It calls for standardized, personalized neuropsychological assessments to optimize rehabilitation, along with extended follow-ups, and multidisciplinary care for long-term quality of life. Future research should refine assessment methods and strategies to better understand neuroplasticity and improve clinical outcomes in neuro-oncology.</t>
  </si>
  <si>
    <t>[Amores-Carrera, Laura; Martin-Monzon, Isabel] Univ Seville, Fac Psicol, Dept Psicol Expt, Grp Invest Neurociencia Bienestar, Seville, Spain</t>
  </si>
  <si>
    <t>Martín-Monzón, I (автор для корреспонденции), Univ Seville, Fac Psicol, Dept Psicol Expt, C Camilo Jose Cela S N, Seville 41018, Spain.</t>
  </si>
  <si>
    <t>isabelmartin@us.es</t>
  </si>
  <si>
    <t>MARTÍN MONZÓN, ISABEL MARÍA/K-8105-2014</t>
  </si>
  <si>
    <t>2054-2577</t>
  </si>
  <si>
    <t>2054-2585</t>
  </si>
  <si>
    <t>2025 AUG 16</t>
  </si>
  <si>
    <t>10.1093/nop/npaf075</t>
  </si>
  <si>
    <t>AUG 2025</t>
  </si>
  <si>
    <t>Oncology; Clinical Neurology</t>
  </si>
  <si>
    <t>WOS:001550434800001</t>
  </si>
  <si>
    <t>Yang, PZ; Wang, XY; Yang, JH; Yan, BB; Sheng, HY; Li, Y; Yang, YF; Wang, JH</t>
  </si>
  <si>
    <t>Yang, Peizheng; Wang, Xiangyu; Yang, Jianhua; Yan, Biaobiao; Sheng, Haiyang; Li, Yan; Yang, Yinfeng; Wang, Jinghui</t>
  </si>
  <si>
    <t>AI-Driven Multiscale Study on the Mechanism of Polygonati Rhizoma in Regulating Immune Function in STAD</t>
  </si>
  <si>
    <t>ACS OMEGA</t>
  </si>
  <si>
    <t>TP53 MUTATIONS; GASTRIC-CANCER; EXPRESSION; PREDICTION; GROMACS; IMPACT; CELLS</t>
  </si>
  <si>
    <t>Polygonati Rhizoma, a traditional Chinese medicine, has demonstrated immunomodulatory and anticancer properties, yet its precise mechanisms in stomach adenocarcinoma (STAD) remain underexplored. This study aims to uncover the multitarget mechanisms of Polygonati Rhizoma in regulating the tumor immune microenvironment in STAD using artificial intelligence (AI)-driven network pharmacology, bioinformatics, and single-cell RNA sequencing, offering new insights into its immunotherapeutic potential. This study harnessed the power of AI to unravel the molecular mechanisms underlying Polygonati Rhizoma's effects. AI-driven methodologies screened 38 putative constituents, retaining 8 based on ADME criteria. Machine Learning algorithms predicted potential targets, which were cross-referenced with 5,569 immune-related genes from GeneCards, revealing 52 immune-associated targets. Differential expression analysis of the STAD data set identified 18 overlapping DEGs with prognostic significance and immune cell infiltration correlations. Key targets (AKT1, TP53, PTGS2 and VEGFA) emerged as central nodes in the network, with AI-assisted molecular docking confirming strong binding affinities, particularly between diosgenin and these core proteins. Molecular dynamics simulations further validated these interactions. Single-cell RNA sequencing revealed distinct target-gene expression patterns across malignant, stromal, and immune cell subsets in digestive-system tumors. In vitro, Polygonati Rhizoma extract significantly inhibited HGC-27 cell viability and increased intracellular ROS levels. These findings underscore the critical role of AI in integrating multiscale analyses, unveiling a multitarget immunomodulatory and antitumor mechanism for Polygonati Rhizoma in STAD, and providing a foundation for future preclinical and clinical studies.</t>
  </si>
  <si>
    <t>[Yang, Peizheng; Wang, Xiangyu; Yan, Biaobiao; Wang, Jinghui] Anhui Univ Chinese Med, Sch Integrated Chinese &amp; Western Med, Hefei 230038, Anhui, Peoples R China; [Yang, Peizheng; Wang, Xiangyu; Yang, Jianhua; Yan, Biaobiao; Yang, Yinfeng; Wang, Jinghui] Anhui Univ Chinese Med, Anhui Prov Key Lab Chinese Med Formula, Hefei 230038, Peoples R China; [Yang, Jianhua; Yang, Yinfeng] Anhui Univ Chinese Med, Sch Med Informat Engn, Hefei 230038, Anhui, Peoples R China; [Sheng, Haiyang] Bristol Myers Squibb, Global Biometr &amp; Data Sci, Lawrenceville, NJ 10154 USA; [Li, Yan] Dalian Univ Technol, Dept Mat Sci &amp; Chem Engn, Key Lab Ind Ecol &amp; Environm Engn MOE, Dalian 116023, Liaoning, Peoples R China</t>
  </si>
  <si>
    <t>Wang, JH (автор для корреспонденции), Anhui Univ Chinese Med, Sch Integrated Chinese &amp; Western Med, Hefei 230038, Anhui, Peoples R China.;Yang, YF; Wang, JH (автор для корреспонденции), Anhui Univ Chinese Med, Anhui Prov Key Lab Chinese Med Formula, Hefei 230038, Peoples R China.;Yang, YF (автор для корреспонденции), Anhui Univ Chinese Med, Sch Med Informat Engn, Hefei 230038, Anhui, Peoples R China.</t>
  </si>
  <si>
    <t>yinfengyang@yeah.net; jhwang_dlut@163.com</t>
  </si>
  <si>
    <t>; Yang, Jianhua/ABG-2962-2021</t>
  </si>
  <si>
    <t>Yang, Yinfeng/0000-0002-2557-4807;</t>
  </si>
  <si>
    <t>2470-1343</t>
  </si>
  <si>
    <t>MAY 11</t>
  </si>
  <si>
    <t>10.1021/acsomega.5c00981</t>
  </si>
  <si>
    <t>Chemistry, Multidisciplinary</t>
  </si>
  <si>
    <t>WOS:001487197400001</t>
  </si>
  <si>
    <t>Gan, TRX; Tan, LWJ; Egermark, M; Truong, ATL; Kumar, K; Tan, SB; Tang, SR; Blasiak, A; Goh, BC; Ngiam, KY; Ho, D</t>
  </si>
  <si>
    <t>Gan, Tiffany Rui Xuan; Tan, Lester W. J.; Egermark, Mathias; Truong, Anh T. L.; Kumar, Kirthika; Tan, Shi-Bei; Tang, Sarah; Blasiak, Agata; Goh, Boon Cher; Ngiam, Kee Yuan; Ho, Dean</t>
  </si>
  <si>
    <t>AI-assisted warfarin dose optimisation with CURATE.AI for clinical impact: Retrospective data analysis</t>
  </si>
  <si>
    <t>BIOENGINEERING &amp; TRANSLATIONAL MEDICINE</t>
  </si>
  <si>
    <t>artificial intelligence; blood coagulation; clinical; decision support systems; precision medicine; warfarin</t>
  </si>
  <si>
    <t>INTERNATIONAL NORMALIZED RATIO; ATRIAL-FIBRILLATION; THERAPEUTIC RANGE; ORAL ANTICOAGULANTS; QUALITY; TIME; PREDICTION; RISK; COMPLICATIONS; THROMBOSIS</t>
  </si>
  <si>
    <t>BackgroundStandard-of-care for warfarin dose titration is conventionally based on physician-guided drug dosing. This may lead to frequent deviations from target international normalized ratio (INR) due to inter- and intra-patient variability and may potentially result in adverse events including recurrent thromboembolism and life-threatening hemorrhage.ObjectivesWe aim to employ CURATE.AI, a small-data, artificial intelligence-derived platform that has been clinically validated in a range of indications, to optimize and guide warfarin dosing.Patients/methodsA personalized CURATE.AI response profile was generated using warfarin dose (inputs) and corresponding change in INR between two consecutive days (phenotypic outputs) and used to identify and recommend an optimal dose to achieve target treatment outcomes. CURATE.AI's predictive performance was then evaluated with a set of metrics that assessed both technical performance and clinical relevance.Results and conclusionsIn this retrospective study of 127 patients, CURATE.AI fared better in terms of Percentage Absolute Prediction Error and Percentage Prediction Error of 20% compared to other models in the literature. It also had negligible underprediction bias, potentially translating into lower bleeding risk. Modeled potential time in therapeutic range with CURATE.AI was not significantly different from physician-guided dosing, so it is on-par yet provides a systematic approach to warfarin dosing, easing the mental-burden on guesswork by physicians. This study lays the groundwork for the prospective study of CURATE.AI as a clinical decision support system. CURATE.AI may facilitate the effective use of affordable warfarin with a well-established safety profile, without the need for costly, new oral anticoagulants. This can have significant impact both on the individual and public health.Results and conclusionsIn this retrospective study of 127 patients, CURATE.AI fared better in terms of Percentage Absolute Prediction Error and Percentage Prediction Error of 20% compared to other models in the literature. It also had negligible underprediction bias, potentially translating into lower bleeding risk. Modeled potential time in therapeutic range with CURATE.AI was not significantly different from physician-guided dosing, so it is on-par yet provides a systematic approach to warfarin dosing, easing the mental-burden on guesswork by physicians. This study lays the groundwork for the prospective study of CURATE.AI as a clinical decision support system. CURATE.AI may facilitate the effective use of affordable warfarin with a well-established safety profile, without the need for costly, new oral anticoagulants. This can have significant impact both on the individual and public health.</t>
  </si>
  <si>
    <t>[Gan, Tiffany Rui Xuan] Ng Teng Fong Gen Hosp, Div Surg, Singapore City, Singapore; [Tan, Lester W. J.; Egermark, Mathias; Truong, Anh T. L.; Kumar, Kirthika; Tan, Shi-Bei; Blasiak, Agata; Ho, Dean] Natl Univ Singapore, N 1 Inst Hlth N 1, Singapore City, Singapore; [Tan, Lester W. J.; Egermark, Mathias; Truong, Anh T. L.; Kumar, Kirthika; Tan, Shi-Bei; Blasiak, Agata; Ho, Dean] Natl Univ Singapore, Inst Digital Med WisDM, Singapore City, Singapore; [Tan, Lester W. J.; Egermark, Mathias; Truong, Anh T. L.; Kumar, Kirthika; Tan, Shi-Bei; Blasiak, Agata; Ho, Dean] Natl Univ Singapore, Coll Design &amp; Engn, Dept Biomed Engn, Singapore City, Singapore; [Tang, Sarah] Natl Univ Singapore, Yong Loo Lin Sch Med, Singapore City, Singapore; [Blasiak, Agata; Ho, Dean] Natl Univ Singapore, Yong Loo Lin Sch Med, Dept Pharmacol, Singapore City, Singapore; [Goh, Boon Cher] Natl Univ Hosp, Div Haematol Oncol, Singapore City, Singapore; [Ngiam, Kee Yuan] Natl Univ Hosp, Div Surg, Singapore City, Singapore; [Ho, Dean] Natl Univ Singapore, Bia Echo Asia Ctr Reprod Longev &amp; Equal ACRLE, Singapore City, Singapore</t>
  </si>
  <si>
    <t>Gan, TRX (автор для корреспонденции), Ng Teng Fong Gen Hosp, Div Surg, Singapore City, Singapore.;Ho, D (автор для корреспонденции), Natl Univ Singapore, N 1 Inst Hlth N 1, Singapore City, Singapore.;Goh, BC (автор для корреспонденции), Natl Univ Hosp, Div Haematol Oncol, Singapore City, Singapore.;Ngiam, KY (автор для корреспонденции), Natl Univ Hosp, Div Surg, Singapore City, Singapore.</t>
  </si>
  <si>
    <t>tiffanyganruixuan@hotmail.com; boon_cher_goh@nuhs.edu.sg; kee_yuan_ngiam@nuhs.edu.sg; biedh@nus.edu.sg</t>
  </si>
  <si>
    <t>Ngiam, Kee/S-5501-2017</t>
  </si>
  <si>
    <t>2380-6761</t>
  </si>
  <si>
    <t>2025 FEB 3</t>
  </si>
  <si>
    <t>10.1002/btm2.10757</t>
  </si>
  <si>
    <t>FEB 2025</t>
  </si>
  <si>
    <t>Biotechnology &amp; Applied Microbiology; Engineering, Biomedical; Pharmacology &amp; Pharmacy</t>
  </si>
  <si>
    <t>WOS:001411857700001</t>
  </si>
  <si>
    <t>Qiao, YX; Zhou, H; Liu, Y; Chen, RX; Zhang, XD; Nie, S; Hou, FF; Zhao, Y; Xu, X; Zhao, LH</t>
  </si>
  <si>
    <t>Qiao, Yixuan; Zhou, Hong; Liu, Yang; Chen, Ruixuan; Zhang, Xiaodong; Nie, Sheng; Hou, Fan Fan; Zhao, Yi; Xu, Xin; Zhao, Lianhe</t>
  </si>
  <si>
    <t>A multi-modal fusion model with enhanced feature representation for chronic kidney disease progression prediction</t>
  </si>
  <si>
    <t>BRIEFINGS IN BIOINFORMATICS</t>
  </si>
  <si>
    <t>multi-modal; deep learning; chronic kidney disease; progression prediction; multi-omics; computational pathology</t>
  </si>
  <si>
    <t>RENAL-CELL CARCINOMA; BIOMARKERS; MECHANISMS; DIURETICS; RISK</t>
  </si>
  <si>
    <t>Artificial intelligence (AI)-based multi-modal fusion algorithms are pivotal in emulating clinical practice by integrating data from diverse sources. However, most of the existing multi-modal models focus on designing new modal fusion methods, ignoring critical role of feature representation. Enhancing feature representativeness can address the noise caused by modal heterogeneity at the source, enabling high performance even with small datasets and simple architectures. Here, we introduce DeepOmix-FLEX (Fusion with Learning Enhanced feature representation for X-modal or FLEX in short), a multi-modal fusion model that integrates clinical data, proteomic data, metabolomic data, and pathology images across different scales and modalities, with a focus on advanced feature learning and representation. FLEX contains a Feature Encoding Trainer structure that can train feature encoding, thus achieving fusion of inter-feature and inter-modal. FLEX achieves a mean AUC of 0.887 for prediction of chronic kidney disease progression on an internal dataset, exceeding the mean AUC of 0.727 using conventional clinical variables. Following external validation and interpretability analyses, our model demonstrated favorable generalizability and validity, as well as the ability to exploit markers. In summary, FLEX highlights the potential of AI algorithms to integrate multi-modal data and optimize the allocation of healthcare resources through accurate prediction.</t>
  </si>
  <si>
    <t>[Qiao, Yixuan; Zhao, Yi; Zhao, Lianhe] Chinese Acad Sci ICT, Inst Comp Technol, 6 Kexueyuan Nanlu,Zhongguancun, Beijing 100190, Peoples R China; [Qiao, Yixuan; Liu, Yang; Zhao, Yi; Zhao, Lianhe] Univ Chinese Acad Sci, Sch Optoelect, 1 Yanqihu East Rd, Beijing 101408, Peoples R China; [Zhou, Hong; Chen, Ruixuan; Zhang, Xiaodong; Nie, Sheng; Hou, Fan Fan; Xu, Xin] Southern Med Univ, Nanfang Hosp, Natl Clin Res Ctr Kidney Dis, State Key Lab Organ Failure Res, 1838 Guangzhou North Ave, Guangzhou 510515, Peoples R China</t>
  </si>
  <si>
    <t>Zhao, Y; Zhao, LH (автор для корреспонденции), Chinese Acad Sci ICT, Inst Comp Technol, 6 Kexueyuan Nanlu,Zhongguancun, Beijing 100190, Peoples R China.;Xu, X (автор для корреспонденции), Southern Med Univ, Nanfang Hosp, Natl Clin Res Ctr Kidney Dis, State Key Lab Organ Failure Res, 1838 Guangzhou North Ave, Guangzhou 510515, Peoples R China.</t>
  </si>
  <si>
    <t>qiaoyixuan19b@ict.ac.cn; zz1216@i.smu.edu.cn; 623418780@qq.com; chenrx114@163.com; xdzhang_2020@163.com; niesheng0202@126.com; ffhouguangzhou@163.com; biozy@ict.ac.cn; xux007@163.com; zhaolianhe@ict.ac.cn</t>
  </si>
  <si>
    <t>Liu, Yang/JXL-2967-2024; Zhang, Xiaodong/GVU-2912-2022</t>
  </si>
  <si>
    <t>1467-5463</t>
  </si>
  <si>
    <t>1477-4054</t>
  </si>
  <si>
    <t>FEB 6</t>
  </si>
  <si>
    <t>bbaf003</t>
  </si>
  <si>
    <t>10.1093/bib/bbaf003</t>
  </si>
  <si>
    <t>Biochemical Research Methods; Mathematical &amp; Computational Biology</t>
  </si>
  <si>
    <t>WOS:001414534500001</t>
  </si>
  <si>
    <t>Abdusalomov, A; Mirzakhalilov, S; Umirzakova, S; Buriboev, AS; Meliboev, A; Muminov, B; Jeon, HS</t>
  </si>
  <si>
    <t>Abdusalomov, Akmalbek; Mirzakhalilov, Sanjar; Umirzakova, Sabina; Shavkatovich Buriboev, Abror; Meliboev, Azizjon; Muminov, Bahodir; Jeon, Heung Seok</t>
  </si>
  <si>
    <t>Accessible AI Diagnostics and Lightweight Brain Tumor Detection on Medical Edge Devices</t>
  </si>
  <si>
    <t>BIOENGINEERING-BASEL</t>
  </si>
  <si>
    <t>brain tumor detection; medical edge devices; lightweight model; medical image analysis; low-resource settings</t>
  </si>
  <si>
    <t>The timely and accurate detection of brain tumors is crucial for effective medical intervention, especially in resource-constrained settings. This study proposes a lightweight and efficient RetinaNet variant tailored for medical edge device deployment. The model reduces computational overhead while maintaining high detection accuracy by replacing the computationally intensive ResNet backbone with MobileNet and leveraging depthwise separable convolutions. The modified RetinaNet achieves an average precision (AP) of 32.1, surpassing state-of-the-art models in small tumor detection (APS: 14.3) and large tumor localization (APL: 49.7). Furthermore, the model significantly reduces computational costs, making real-time analysis feasible on low-power hardware. Clinical relevance is a key focus of this work. The proposed model addresses the diagnostic challenges of small, variable-sized tumors often overlooked by existing methods. Its lightweight architecture enables accurate and timely tumor localization on portable devices, bridging the gap in diagnostic accessibility for underserved regions. Extensive experiments on the BRATS dataset demonstrate the model robustness across tumor sizes and configurations, with confidence scores consistently exceeding 81%. This advancement holds the potential for improving early tumor detection, particularly in remote areas lacking advanced medical infrastructure, thereby contributing to better patient outcomes and broader accessibility to AI-driven diagnostic tools.</t>
  </si>
  <si>
    <t>[Abdusalomov, Akmalbek; Umirzakova, Sabina] Gachon Univ, Dept Comp Engn, Seongnam Si 13120, South Korea; [Mirzakhalilov, Sanjar] Tashkent Univ Informat Technol Muhammad Al Khwariz, Dept Comp Syst, Tashkent 100200, Uzbekistan; [Shavkatovich Buriboev, Abror] Gachon Univ, Dept AI Software, Seongnam Si 13120, South Korea; [Meliboev, Azizjon] Kokand Univ, Dept Digital Technol &amp; Math, Fergana 150700, Uzbekistan; [Muminov, Bahodir] Tashkent State Univ Econ, Dept Artificial Intelligence, Tashkent 100066, Uzbekistan; [Jeon, Heung Seok] Konkuk Univ, Dept Software Technol, Chungju 27478, South Korea</t>
  </si>
  <si>
    <t>Jeon, HS (автор для корреспонденции), Konkuk Univ, Dept Software Technol, Chungju 27478, South Korea.</t>
  </si>
  <si>
    <t>akmaljon@gachon.ac.kr; mirzaxalilov86@tuit.uz; sabinatuit@gachon.ac.kr; abror1989@gachon.ac.kr; a.meliboyev@kokanduni.uz; hsjeon@kku.ac.kr</t>
  </si>
  <si>
    <t>Abdusalomov, Akmalbek/AEB-6319-2022; Mirzakhalilov, Sanjar/HHZ-2634-2022; Umirzakova, Sabina/KHW-4635-2024; Buriboev, Abror/AEE-0890-2022; Mirzaxalilov, Sanjar/HHZ-2634-2022</t>
  </si>
  <si>
    <t>Jeon, Heung Seok/0000-0003-3672-9568; Meliboev, Azizjon/0000-0003-2742-0059; Buriboev, Abror/0000-0001-8024-6200; Mirzaxalilov, Sanjar/0000-0002-3642-8813</t>
  </si>
  <si>
    <t>2306-5354</t>
  </si>
  <si>
    <t>JAN</t>
  </si>
  <si>
    <t>10.3390/bioengineering12010062</t>
  </si>
  <si>
    <t>Biotechnology &amp; Applied Microbiology; Engineering, Biomedical</t>
  </si>
  <si>
    <t>WOS:001404589000001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</si>
</sst>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Офіс">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Офіс">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F5A81-BA4D-4A97-91EE-D0F74F13046F}">
  <dimension ref="A1:BT15"/>
  <sheetViews>
    <sheetView tabSelected="1" workbookViewId="0">
      <selection activeCell="G18" sqref="G18"/>
    </sheetView>
  </sheetViews>
  <sheetFormatPr defaultRowHeight="12.75" x14ac:dyDescent="0.2"/>
  <sheetData>
    <row r="1" spans="1:7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x14ac:dyDescent="0.2">
      <c r="A2" t="s">
        <v>72</v>
      </c>
      <c r="B2" t="s">
        <v>73</v>
      </c>
      <c r="C2" t="s">
        <v>74</v>
      </c>
      <c r="D2" t="s">
        <v>74</v>
      </c>
      <c r="E2" t="s">
        <v>74</v>
      </c>
      <c r="F2" t="s">
        <v>75</v>
      </c>
      <c r="G2" t="s">
        <v>74</v>
      </c>
      <c r="H2" t="s">
        <v>74</v>
      </c>
      <c r="I2" t="s">
        <v>76</v>
      </c>
      <c r="J2" t="s">
        <v>77</v>
      </c>
      <c r="K2" t="s">
        <v>74</v>
      </c>
      <c r="L2" t="s">
        <v>74</v>
      </c>
      <c r="M2" t="s">
        <v>74</v>
      </c>
      <c r="N2" t="s">
        <v>74</v>
      </c>
      <c r="O2" t="s">
        <v>74</v>
      </c>
      <c r="P2" t="s">
        <v>74</v>
      </c>
      <c r="Q2" t="s">
        <v>74</v>
      </c>
      <c r="R2" t="s">
        <v>74</v>
      </c>
      <c r="S2" t="s">
        <v>74</v>
      </c>
      <c r="T2" t="s">
        <v>78</v>
      </c>
      <c r="U2" t="s">
        <v>79</v>
      </c>
      <c r="V2" t="s">
        <v>80</v>
      </c>
      <c r="W2" t="s">
        <v>81</v>
      </c>
      <c r="X2" t="s">
        <v>74</v>
      </c>
      <c r="Y2" t="s">
        <v>82</v>
      </c>
      <c r="Z2" t="s">
        <v>83</v>
      </c>
      <c r="AA2" t="s">
        <v>74</v>
      </c>
      <c r="AB2" t="s">
        <v>74</v>
      </c>
      <c r="AC2" t="s">
        <v>74</v>
      </c>
      <c r="AD2" t="s">
        <v>74</v>
      </c>
      <c r="AE2" t="s">
        <v>74</v>
      </c>
      <c r="AF2" t="s">
        <v>74</v>
      </c>
      <c r="AG2" t="s">
        <v>74</v>
      </c>
      <c r="AH2" t="s">
        <v>74</v>
      </c>
      <c r="AI2" t="s">
        <v>74</v>
      </c>
      <c r="AJ2" t="s">
        <v>74</v>
      </c>
      <c r="AK2" t="s">
        <v>74</v>
      </c>
      <c r="AL2" t="s">
        <v>74</v>
      </c>
      <c r="AM2" t="s">
        <v>74</v>
      </c>
      <c r="AN2" t="s">
        <v>74</v>
      </c>
      <c r="AO2" t="s">
        <v>84</v>
      </c>
      <c r="AP2" t="s">
        <v>85</v>
      </c>
      <c r="AQ2" t="s">
        <v>74</v>
      </c>
      <c r="AR2" t="s">
        <v>74</v>
      </c>
      <c r="AS2" t="s">
        <v>74</v>
      </c>
      <c r="AT2" t="s">
        <v>86</v>
      </c>
      <c r="AU2">
        <v>2025</v>
      </c>
      <c r="AV2">
        <v>24</v>
      </c>
      <c r="AW2" t="s">
        <v>74</v>
      </c>
      <c r="AX2" t="s">
        <v>74</v>
      </c>
      <c r="AY2" t="s">
        <v>74</v>
      </c>
      <c r="AZ2" t="s">
        <v>74</v>
      </c>
      <c r="BA2" t="s">
        <v>74</v>
      </c>
      <c r="BB2" t="s">
        <v>74</v>
      </c>
      <c r="BC2" t="s">
        <v>74</v>
      </c>
      <c r="BD2" t="s">
        <v>87</v>
      </c>
      <c r="BE2" t="s">
        <v>88</v>
      </c>
      <c r="BF2" t="str">
        <f>HYPERLINK("http://dx.doi.org/10.1017/S1460396925100204","http://dx.doi.org/10.1017/S1460396925100204")</f>
        <v>http://dx.doi.org/10.1017/S1460396925100204</v>
      </c>
      <c r="BG2" t="s">
        <v>74</v>
      </c>
      <c r="BH2" t="s">
        <v>74</v>
      </c>
      <c r="BI2" t="s">
        <v>74</v>
      </c>
      <c r="BJ2" t="s">
        <v>89</v>
      </c>
      <c r="BK2" t="s">
        <v>74</v>
      </c>
      <c r="BL2" t="s">
        <v>74</v>
      </c>
      <c r="BM2" t="s">
        <v>74</v>
      </c>
      <c r="BN2" t="s">
        <v>74</v>
      </c>
      <c r="BO2" t="s">
        <v>74</v>
      </c>
      <c r="BP2" t="s">
        <v>74</v>
      </c>
      <c r="BQ2" t="s">
        <v>74</v>
      </c>
      <c r="BR2" t="s">
        <v>74</v>
      </c>
      <c r="BS2" t="s">
        <v>90</v>
      </c>
      <c r="BT2" t="str">
        <f>HYPERLINK("https%3A%2F%2Fwww.webofscience.com%2Fwos%2Fwoscc%2Ffull-record%2FWOS:001545440200001","View Full Record in Web of Science")</f>
        <v>View Full Record in Web of Science</v>
      </c>
    </row>
    <row r="3" spans="1:72" x14ac:dyDescent="0.2">
      <c r="A3" t="s">
        <v>72</v>
      </c>
      <c r="B3" t="s">
        <v>91</v>
      </c>
      <c r="C3" t="s">
        <v>74</v>
      </c>
      <c r="D3" t="s">
        <v>74</v>
      </c>
      <c r="E3" t="s">
        <v>74</v>
      </c>
      <c r="F3" t="s">
        <v>92</v>
      </c>
      <c r="G3" t="s">
        <v>74</v>
      </c>
      <c r="H3" t="s">
        <v>74</v>
      </c>
      <c r="I3" t="s">
        <v>93</v>
      </c>
      <c r="J3" t="s">
        <v>94</v>
      </c>
      <c r="K3" t="s">
        <v>74</v>
      </c>
      <c r="L3" t="s">
        <v>74</v>
      </c>
      <c r="M3" t="s">
        <v>74</v>
      </c>
      <c r="N3" t="s">
        <v>74</v>
      </c>
      <c r="O3" t="s">
        <v>74</v>
      </c>
      <c r="P3" t="s">
        <v>74</v>
      </c>
      <c r="Q3" t="s">
        <v>74</v>
      </c>
      <c r="R3" t="s">
        <v>74</v>
      </c>
      <c r="S3" t="s">
        <v>74</v>
      </c>
      <c r="T3" t="s">
        <v>74</v>
      </c>
      <c r="U3" t="s">
        <v>95</v>
      </c>
      <c r="V3" t="s">
        <v>96</v>
      </c>
      <c r="W3" t="s">
        <v>97</v>
      </c>
      <c r="X3" t="s">
        <v>74</v>
      </c>
      <c r="Y3" t="s">
        <v>98</v>
      </c>
      <c r="Z3" t="s">
        <v>99</v>
      </c>
      <c r="AA3" t="s">
        <v>74</v>
      </c>
      <c r="AB3" t="s">
        <v>100</v>
      </c>
      <c r="AC3" t="s">
        <v>74</v>
      </c>
      <c r="AD3" t="s">
        <v>74</v>
      </c>
      <c r="AE3" t="s">
        <v>74</v>
      </c>
      <c r="AF3" t="s">
        <v>74</v>
      </c>
      <c r="AG3" t="s">
        <v>74</v>
      </c>
      <c r="AH3" t="s">
        <v>74</v>
      </c>
      <c r="AI3" t="s">
        <v>74</v>
      </c>
      <c r="AJ3" t="s">
        <v>74</v>
      </c>
      <c r="AK3" t="s">
        <v>74</v>
      </c>
      <c r="AL3" t="s">
        <v>74</v>
      </c>
      <c r="AM3" t="s">
        <v>74</v>
      </c>
      <c r="AN3" t="s">
        <v>74</v>
      </c>
      <c r="AO3" t="s">
        <v>101</v>
      </c>
      <c r="AP3" t="s">
        <v>74</v>
      </c>
      <c r="AQ3" t="s">
        <v>74</v>
      </c>
      <c r="AR3" t="s">
        <v>74</v>
      </c>
      <c r="AS3" t="s">
        <v>74</v>
      </c>
      <c r="AT3" t="s">
        <v>102</v>
      </c>
      <c r="AU3">
        <v>2025</v>
      </c>
      <c r="AV3">
        <v>5</v>
      </c>
      <c r="AW3">
        <v>1</v>
      </c>
      <c r="AX3" t="s">
        <v>74</v>
      </c>
      <c r="AY3" t="s">
        <v>74</v>
      </c>
      <c r="AZ3" t="s">
        <v>74</v>
      </c>
      <c r="BA3" t="s">
        <v>74</v>
      </c>
      <c r="BB3" t="s">
        <v>74</v>
      </c>
      <c r="BC3" t="s">
        <v>74</v>
      </c>
      <c r="BD3">
        <v>261</v>
      </c>
      <c r="BE3" t="s">
        <v>103</v>
      </c>
      <c r="BF3" t="str">
        <f>HYPERLINK("http://dx.doi.org/10.1038/s43856-025-00965-w","http://dx.doi.org/10.1038/s43856-025-00965-w")</f>
        <v>http://dx.doi.org/10.1038/s43856-025-00965-w</v>
      </c>
      <c r="BG3" t="s">
        <v>74</v>
      </c>
      <c r="BH3" t="s">
        <v>74</v>
      </c>
      <c r="BI3" t="s">
        <v>74</v>
      </c>
      <c r="BJ3" t="s">
        <v>104</v>
      </c>
      <c r="BK3" t="s">
        <v>74</v>
      </c>
      <c r="BL3" t="s">
        <v>74</v>
      </c>
      <c r="BM3" t="s">
        <v>74</v>
      </c>
      <c r="BN3">
        <v>40596645</v>
      </c>
      <c r="BO3" t="s">
        <v>74</v>
      </c>
      <c r="BP3" t="s">
        <v>74</v>
      </c>
      <c r="BQ3" t="s">
        <v>74</v>
      </c>
      <c r="BR3" t="s">
        <v>74</v>
      </c>
      <c r="BS3" t="s">
        <v>105</v>
      </c>
      <c r="BT3" t="str">
        <f>HYPERLINK("https%3A%2F%2Fwww.webofscience.com%2Fwos%2Fwoscc%2Ffull-record%2FWOS:001520939700001","View Full Record in Web of Science")</f>
        <v>View Full Record in Web of Science</v>
      </c>
    </row>
    <row r="4" spans="1:72" x14ac:dyDescent="0.2">
      <c r="A4" t="s">
        <v>72</v>
      </c>
      <c r="B4" t="s">
        <v>106</v>
      </c>
      <c r="C4" t="s">
        <v>74</v>
      </c>
      <c r="D4" t="s">
        <v>74</v>
      </c>
      <c r="E4" t="s">
        <v>74</v>
      </c>
      <c r="F4" t="s">
        <v>107</v>
      </c>
      <c r="G4" t="s">
        <v>74</v>
      </c>
      <c r="H4" t="s">
        <v>74</v>
      </c>
      <c r="I4" t="s">
        <v>108</v>
      </c>
      <c r="J4" t="s">
        <v>109</v>
      </c>
      <c r="K4" t="s">
        <v>74</v>
      </c>
      <c r="L4" t="s">
        <v>74</v>
      </c>
      <c r="M4" t="s">
        <v>74</v>
      </c>
      <c r="N4" t="s">
        <v>74</v>
      </c>
      <c r="O4" t="s">
        <v>74</v>
      </c>
      <c r="P4" t="s">
        <v>74</v>
      </c>
      <c r="Q4" t="s">
        <v>74</v>
      </c>
      <c r="R4" t="s">
        <v>74</v>
      </c>
      <c r="S4" t="s">
        <v>74</v>
      </c>
      <c r="T4" t="s">
        <v>74</v>
      </c>
      <c r="U4" t="s">
        <v>110</v>
      </c>
      <c r="V4" t="s">
        <v>111</v>
      </c>
      <c r="W4" t="s">
        <v>112</v>
      </c>
      <c r="X4" t="s">
        <v>74</v>
      </c>
      <c r="Y4" t="s">
        <v>113</v>
      </c>
      <c r="Z4" t="s">
        <v>114</v>
      </c>
      <c r="AA4" t="s">
        <v>115</v>
      </c>
      <c r="AB4" t="s">
        <v>74</v>
      </c>
      <c r="AC4" t="s">
        <v>74</v>
      </c>
      <c r="AD4" t="s">
        <v>74</v>
      </c>
      <c r="AE4" t="s">
        <v>74</v>
      </c>
      <c r="AF4" t="s">
        <v>74</v>
      </c>
      <c r="AG4" t="s">
        <v>74</v>
      </c>
      <c r="AH4" t="s">
        <v>74</v>
      </c>
      <c r="AI4" t="s">
        <v>74</v>
      </c>
      <c r="AJ4" t="s">
        <v>74</v>
      </c>
      <c r="AK4" t="s">
        <v>74</v>
      </c>
      <c r="AL4" t="s">
        <v>74</v>
      </c>
      <c r="AM4" t="s">
        <v>74</v>
      </c>
      <c r="AN4" t="s">
        <v>74</v>
      </c>
      <c r="AO4" t="s">
        <v>116</v>
      </c>
      <c r="AP4" t="s">
        <v>117</v>
      </c>
      <c r="AQ4" t="s">
        <v>74</v>
      </c>
      <c r="AR4" t="s">
        <v>74</v>
      </c>
      <c r="AS4" t="s">
        <v>74</v>
      </c>
      <c r="AT4" t="s">
        <v>118</v>
      </c>
      <c r="AU4">
        <v>2025</v>
      </c>
      <c r="AV4" t="s">
        <v>74</v>
      </c>
      <c r="AW4" t="s">
        <v>74</v>
      </c>
      <c r="AX4" t="s">
        <v>74</v>
      </c>
      <c r="AY4" t="s">
        <v>74</v>
      </c>
      <c r="AZ4" t="s">
        <v>74</v>
      </c>
      <c r="BA4" t="s">
        <v>74</v>
      </c>
      <c r="BB4" t="s">
        <v>74</v>
      </c>
      <c r="BC4" t="s">
        <v>74</v>
      </c>
      <c r="BD4" t="s">
        <v>74</v>
      </c>
      <c r="BE4" t="s">
        <v>119</v>
      </c>
      <c r="BF4" t="str">
        <f>HYPERLINK("http://dx.doi.org/10.1038/s41591-025-03785-6","http://dx.doi.org/10.1038/s41591-025-03785-6")</f>
        <v>http://dx.doi.org/10.1038/s41591-025-03785-6</v>
      </c>
      <c r="BG4" t="s">
        <v>74</v>
      </c>
      <c r="BH4" t="s">
        <v>120</v>
      </c>
      <c r="BI4" t="s">
        <v>74</v>
      </c>
      <c r="BJ4" t="s">
        <v>121</v>
      </c>
      <c r="BK4" t="s">
        <v>74</v>
      </c>
      <c r="BL4" t="s">
        <v>74</v>
      </c>
      <c r="BM4" t="s">
        <v>74</v>
      </c>
      <c r="BN4" t="s">
        <v>74</v>
      </c>
      <c r="BO4" t="s">
        <v>74</v>
      </c>
      <c r="BP4" t="s">
        <v>74</v>
      </c>
      <c r="BQ4" t="s">
        <v>74</v>
      </c>
      <c r="BR4" t="s">
        <v>74</v>
      </c>
      <c r="BS4" t="s">
        <v>122</v>
      </c>
      <c r="BT4" t="str">
        <f>HYPERLINK("https%3A%2F%2Fwww.webofscience.com%2Fwos%2Fwoscc%2Ffull-record%2FWOS:001514326800001","View Full Record in Web of Science")</f>
        <v>View Full Record in Web of Science</v>
      </c>
    </row>
    <row r="5" spans="1:72" x14ac:dyDescent="0.2">
      <c r="A5" t="s">
        <v>72</v>
      </c>
      <c r="B5" t="s">
        <v>123</v>
      </c>
      <c r="C5" t="s">
        <v>74</v>
      </c>
      <c r="D5" t="s">
        <v>74</v>
      </c>
      <c r="E5" t="s">
        <v>74</v>
      </c>
      <c r="F5" t="s">
        <v>124</v>
      </c>
      <c r="G5" t="s">
        <v>74</v>
      </c>
      <c r="H5" t="s">
        <v>74</v>
      </c>
      <c r="I5" t="s">
        <v>125</v>
      </c>
      <c r="J5" t="s">
        <v>126</v>
      </c>
      <c r="K5" t="s">
        <v>74</v>
      </c>
      <c r="L5" t="s">
        <v>74</v>
      </c>
      <c r="M5" t="s">
        <v>74</v>
      </c>
      <c r="N5" t="s">
        <v>74</v>
      </c>
      <c r="O5" t="s">
        <v>74</v>
      </c>
      <c r="P5" t="s">
        <v>74</v>
      </c>
      <c r="Q5" t="s">
        <v>74</v>
      </c>
      <c r="R5" t="s">
        <v>74</v>
      </c>
      <c r="S5" t="s">
        <v>74</v>
      </c>
      <c r="T5" t="s">
        <v>127</v>
      </c>
      <c r="U5" t="s">
        <v>74</v>
      </c>
      <c r="V5" t="s">
        <v>128</v>
      </c>
      <c r="W5" t="s">
        <v>129</v>
      </c>
      <c r="X5" t="s">
        <v>74</v>
      </c>
      <c r="Y5" t="s">
        <v>130</v>
      </c>
      <c r="Z5" t="s">
        <v>131</v>
      </c>
      <c r="AA5" t="s">
        <v>74</v>
      </c>
      <c r="AB5" t="s">
        <v>74</v>
      </c>
      <c r="AC5" t="s">
        <v>74</v>
      </c>
      <c r="AD5" t="s">
        <v>74</v>
      </c>
      <c r="AE5" t="s">
        <v>74</v>
      </c>
      <c r="AF5" t="s">
        <v>74</v>
      </c>
      <c r="AG5" t="s">
        <v>74</v>
      </c>
      <c r="AH5" t="s">
        <v>74</v>
      </c>
      <c r="AI5" t="s">
        <v>74</v>
      </c>
      <c r="AJ5" t="s">
        <v>74</v>
      </c>
      <c r="AK5" t="s">
        <v>74</v>
      </c>
      <c r="AL5" t="s">
        <v>74</v>
      </c>
      <c r="AM5" t="s">
        <v>74</v>
      </c>
      <c r="AN5" t="s">
        <v>74</v>
      </c>
      <c r="AO5" t="s">
        <v>132</v>
      </c>
      <c r="AP5" t="s">
        <v>133</v>
      </c>
      <c r="AQ5" t="s">
        <v>74</v>
      </c>
      <c r="AR5" t="s">
        <v>74</v>
      </c>
      <c r="AS5" t="s">
        <v>74</v>
      </c>
      <c r="AT5" t="s">
        <v>134</v>
      </c>
      <c r="AU5">
        <v>2025</v>
      </c>
      <c r="AV5">
        <v>49</v>
      </c>
      <c r="AW5">
        <v>1</v>
      </c>
      <c r="AX5" t="s">
        <v>74</v>
      </c>
      <c r="AY5" t="s">
        <v>74</v>
      </c>
      <c r="AZ5" t="s">
        <v>74</v>
      </c>
      <c r="BA5" t="s">
        <v>74</v>
      </c>
      <c r="BB5" t="s">
        <v>74</v>
      </c>
      <c r="BC5" t="s">
        <v>74</v>
      </c>
      <c r="BD5">
        <v>36</v>
      </c>
      <c r="BE5" t="s">
        <v>135</v>
      </c>
      <c r="BF5" t="str">
        <f>HYPERLINK("http://dx.doi.org/10.1007/s10916-025-02167-2","http://dx.doi.org/10.1007/s10916-025-02167-2")</f>
        <v>http://dx.doi.org/10.1007/s10916-025-02167-2</v>
      </c>
      <c r="BG5" t="s">
        <v>74</v>
      </c>
      <c r="BH5" t="s">
        <v>74</v>
      </c>
      <c r="BI5" t="s">
        <v>74</v>
      </c>
      <c r="BJ5" t="s">
        <v>136</v>
      </c>
      <c r="BK5" t="s">
        <v>74</v>
      </c>
      <c r="BL5" t="s">
        <v>74</v>
      </c>
      <c r="BM5" t="s">
        <v>74</v>
      </c>
      <c r="BN5">
        <v>40080229</v>
      </c>
      <c r="BO5" t="s">
        <v>74</v>
      </c>
      <c r="BP5" t="s">
        <v>74</v>
      </c>
      <c r="BQ5" t="s">
        <v>74</v>
      </c>
      <c r="BR5" t="s">
        <v>74</v>
      </c>
      <c r="BS5" t="s">
        <v>137</v>
      </c>
      <c r="BT5" t="str">
        <f>HYPERLINK("https%3A%2F%2Fwww.webofscience.com%2Fwos%2Fwoscc%2Ffull-record%2FWOS:001444041000001","View Full Record in Web of Science")</f>
        <v>View Full Record in Web of Science</v>
      </c>
    </row>
    <row r="6" spans="1:72" x14ac:dyDescent="0.2">
      <c r="A6" t="s">
        <v>72</v>
      </c>
      <c r="B6" t="s">
        <v>138</v>
      </c>
      <c r="C6" t="s">
        <v>74</v>
      </c>
      <c r="D6" t="s">
        <v>74</v>
      </c>
      <c r="E6" t="s">
        <v>74</v>
      </c>
      <c r="F6" t="s">
        <v>139</v>
      </c>
      <c r="G6" t="s">
        <v>74</v>
      </c>
      <c r="H6" t="s">
        <v>74</v>
      </c>
      <c r="I6" t="s">
        <v>140</v>
      </c>
      <c r="J6" t="s">
        <v>141</v>
      </c>
      <c r="K6" t="s">
        <v>74</v>
      </c>
      <c r="L6" t="s">
        <v>74</v>
      </c>
      <c r="M6" t="s">
        <v>74</v>
      </c>
      <c r="N6" t="s">
        <v>74</v>
      </c>
      <c r="O6" t="s">
        <v>74</v>
      </c>
      <c r="P6" t="s">
        <v>74</v>
      </c>
      <c r="Q6" t="s">
        <v>74</v>
      </c>
      <c r="R6" t="s">
        <v>74</v>
      </c>
      <c r="S6" t="s">
        <v>74</v>
      </c>
      <c r="T6" t="s">
        <v>142</v>
      </c>
      <c r="U6" t="s">
        <v>143</v>
      </c>
      <c r="V6" t="s">
        <v>144</v>
      </c>
      <c r="W6" t="s">
        <v>145</v>
      </c>
      <c r="X6" t="s">
        <v>74</v>
      </c>
      <c r="Y6" t="s">
        <v>146</v>
      </c>
      <c r="Z6" t="s">
        <v>147</v>
      </c>
      <c r="AA6" t="s">
        <v>148</v>
      </c>
      <c r="AB6" t="s">
        <v>74</v>
      </c>
      <c r="AC6" t="s">
        <v>74</v>
      </c>
      <c r="AD6" t="s">
        <v>74</v>
      </c>
      <c r="AE6" t="s">
        <v>74</v>
      </c>
      <c r="AF6" t="s">
        <v>74</v>
      </c>
      <c r="AG6" t="s">
        <v>74</v>
      </c>
      <c r="AH6" t="s">
        <v>74</v>
      </c>
      <c r="AI6" t="s">
        <v>74</v>
      </c>
      <c r="AJ6" t="s">
        <v>74</v>
      </c>
      <c r="AK6" t="s">
        <v>74</v>
      </c>
      <c r="AL6" t="s">
        <v>74</v>
      </c>
      <c r="AM6" t="s">
        <v>74</v>
      </c>
      <c r="AN6" t="s">
        <v>74</v>
      </c>
      <c r="AO6" t="s">
        <v>149</v>
      </c>
      <c r="AP6" t="s">
        <v>74</v>
      </c>
      <c r="AQ6" t="s">
        <v>74</v>
      </c>
      <c r="AR6" t="s">
        <v>74</v>
      </c>
      <c r="AS6" t="s">
        <v>74</v>
      </c>
      <c r="AT6" t="s">
        <v>150</v>
      </c>
      <c r="AU6">
        <v>2025</v>
      </c>
      <c r="AV6">
        <v>11</v>
      </c>
      <c r="AW6" t="s">
        <v>74</v>
      </c>
      <c r="AX6" t="s">
        <v>74</v>
      </c>
      <c r="AY6" t="s">
        <v>74</v>
      </c>
      <c r="AZ6" t="s">
        <v>74</v>
      </c>
      <c r="BA6" t="s">
        <v>74</v>
      </c>
      <c r="BB6" t="s">
        <v>74</v>
      </c>
      <c r="BC6" t="s">
        <v>74</v>
      </c>
      <c r="BD6">
        <v>100398</v>
      </c>
      <c r="BE6" t="s">
        <v>151</v>
      </c>
      <c r="BF6" t="str">
        <f>HYPERLINK("http://dx.doi.org/10.1016/j.talo.2025.100398","http://dx.doi.org/10.1016/j.talo.2025.100398")</f>
        <v>http://dx.doi.org/10.1016/j.talo.2025.100398</v>
      </c>
      <c r="BG6" t="s">
        <v>74</v>
      </c>
      <c r="BH6" t="s">
        <v>152</v>
      </c>
      <c r="BI6" t="s">
        <v>74</v>
      </c>
      <c r="BJ6" t="s">
        <v>153</v>
      </c>
      <c r="BK6" t="s">
        <v>74</v>
      </c>
      <c r="BL6" t="s">
        <v>74</v>
      </c>
      <c r="BM6" t="s">
        <v>74</v>
      </c>
      <c r="BN6" t="s">
        <v>74</v>
      </c>
      <c r="BO6" t="s">
        <v>74</v>
      </c>
      <c r="BP6" t="s">
        <v>74</v>
      </c>
      <c r="BQ6" t="s">
        <v>74</v>
      </c>
      <c r="BR6" t="s">
        <v>74</v>
      </c>
      <c r="BS6" t="s">
        <v>154</v>
      </c>
      <c r="BT6" t="str">
        <f>HYPERLINK("https%3A%2F%2Fwww.webofscience.com%2Fwos%2Fwoscc%2Ffull-record%2FWOS:001411185500001","View Full Record in Web of Science")</f>
        <v>View Full Record in Web of Science</v>
      </c>
    </row>
    <row r="7" spans="1:72" x14ac:dyDescent="0.2">
      <c r="A7" t="s">
        <v>72</v>
      </c>
      <c r="B7" t="s">
        <v>155</v>
      </c>
      <c r="C7" t="s">
        <v>74</v>
      </c>
      <c r="D7" t="s">
        <v>74</v>
      </c>
      <c r="E7" t="s">
        <v>74</v>
      </c>
      <c r="F7" t="s">
        <v>156</v>
      </c>
      <c r="G7" t="s">
        <v>74</v>
      </c>
      <c r="H7" t="s">
        <v>74</v>
      </c>
      <c r="I7" t="s">
        <v>157</v>
      </c>
      <c r="J7" t="s">
        <v>158</v>
      </c>
      <c r="K7" t="s">
        <v>74</v>
      </c>
      <c r="L7" t="s">
        <v>74</v>
      </c>
      <c r="M7" t="s">
        <v>74</v>
      </c>
      <c r="N7" t="s">
        <v>74</v>
      </c>
      <c r="O7" t="s">
        <v>74</v>
      </c>
      <c r="P7" t="s">
        <v>74</v>
      </c>
      <c r="Q7" t="s">
        <v>74</v>
      </c>
      <c r="R7" t="s">
        <v>74</v>
      </c>
      <c r="S7" t="s">
        <v>74</v>
      </c>
      <c r="T7" t="s">
        <v>159</v>
      </c>
      <c r="U7" t="s">
        <v>160</v>
      </c>
      <c r="V7" t="s">
        <v>161</v>
      </c>
      <c r="W7" t="s">
        <v>162</v>
      </c>
      <c r="X7" t="s">
        <v>74</v>
      </c>
      <c r="Y7" t="s">
        <v>163</v>
      </c>
      <c r="Z7" t="s">
        <v>164</v>
      </c>
      <c r="AA7" t="s">
        <v>74</v>
      </c>
      <c r="AB7" t="s">
        <v>74</v>
      </c>
      <c r="AC7" t="s">
        <v>74</v>
      </c>
      <c r="AD7" t="s">
        <v>74</v>
      </c>
      <c r="AE7" t="s">
        <v>74</v>
      </c>
      <c r="AF7" t="s">
        <v>74</v>
      </c>
      <c r="AG7" t="s">
        <v>74</v>
      </c>
      <c r="AH7" t="s">
        <v>74</v>
      </c>
      <c r="AI7" t="s">
        <v>74</v>
      </c>
      <c r="AJ7" t="s">
        <v>74</v>
      </c>
      <c r="AK7" t="s">
        <v>74</v>
      </c>
      <c r="AL7" t="s">
        <v>74</v>
      </c>
      <c r="AM7" t="s">
        <v>74</v>
      </c>
      <c r="AN7" t="s">
        <v>74</v>
      </c>
      <c r="AO7" t="s">
        <v>165</v>
      </c>
      <c r="AP7" t="s">
        <v>166</v>
      </c>
      <c r="AQ7" t="s">
        <v>74</v>
      </c>
      <c r="AR7" t="s">
        <v>74</v>
      </c>
      <c r="AS7" t="s">
        <v>74</v>
      </c>
      <c r="AT7" t="s">
        <v>74</v>
      </c>
      <c r="AU7">
        <v>2025</v>
      </c>
      <c r="AV7">
        <v>17</v>
      </c>
      <c r="AW7" t="s">
        <v>74</v>
      </c>
      <c r="AX7" t="s">
        <v>74</v>
      </c>
      <c r="AY7" t="s">
        <v>74</v>
      </c>
      <c r="AZ7" t="s">
        <v>74</v>
      </c>
      <c r="BA7" t="s">
        <v>74</v>
      </c>
      <c r="BB7" t="s">
        <v>74</v>
      </c>
      <c r="BC7" t="s">
        <v>74</v>
      </c>
      <c r="BD7">
        <v>1.7588359251355058E+16</v>
      </c>
      <c r="BE7" t="s">
        <v>167</v>
      </c>
      <c r="BF7" t="str">
        <f>HYPERLINK("http://dx.doi.org/10.1177/17588359251355058","http://dx.doi.org/10.1177/17588359251355058")</f>
        <v>http://dx.doi.org/10.1177/17588359251355058</v>
      </c>
      <c r="BG7" t="s">
        <v>74</v>
      </c>
      <c r="BH7" t="s">
        <v>74</v>
      </c>
      <c r="BI7" t="s">
        <v>74</v>
      </c>
      <c r="BJ7" t="s">
        <v>168</v>
      </c>
      <c r="BK7" t="s">
        <v>74</v>
      </c>
      <c r="BL7" t="s">
        <v>74</v>
      </c>
      <c r="BM7" t="s">
        <v>74</v>
      </c>
      <c r="BN7">
        <v>40727884</v>
      </c>
      <c r="BO7" t="s">
        <v>74</v>
      </c>
      <c r="BP7" t="s">
        <v>74</v>
      </c>
      <c r="BQ7" t="s">
        <v>74</v>
      </c>
      <c r="BR7" t="s">
        <v>74</v>
      </c>
      <c r="BS7" t="s">
        <v>169</v>
      </c>
      <c r="BT7" t="str">
        <f>HYPERLINK("https%3A%2F%2Fwww.webofscience.com%2Fwos%2Fwoscc%2Ffull-record%2FWOS:001535019200001","View Full Record in Web of Science")</f>
        <v>View Full Record in Web of Science</v>
      </c>
    </row>
    <row r="8" spans="1:72" x14ac:dyDescent="0.2">
      <c r="A8" t="s">
        <v>72</v>
      </c>
      <c r="B8" t="s">
        <v>170</v>
      </c>
      <c r="C8" t="s">
        <v>74</v>
      </c>
      <c r="D8" t="s">
        <v>74</v>
      </c>
      <c r="E8" t="s">
        <v>74</v>
      </c>
      <c r="F8" t="s">
        <v>171</v>
      </c>
      <c r="G8" t="s">
        <v>74</v>
      </c>
      <c r="H8" t="s">
        <v>74</v>
      </c>
      <c r="I8" t="s">
        <v>172</v>
      </c>
      <c r="J8" t="s">
        <v>173</v>
      </c>
      <c r="K8" t="s">
        <v>74</v>
      </c>
      <c r="L8" t="s">
        <v>74</v>
      </c>
      <c r="M8" t="s">
        <v>74</v>
      </c>
      <c r="N8" t="s">
        <v>74</v>
      </c>
      <c r="O8" t="s">
        <v>74</v>
      </c>
      <c r="P8" t="s">
        <v>74</v>
      </c>
      <c r="Q8" t="s">
        <v>74</v>
      </c>
      <c r="R8" t="s">
        <v>74</v>
      </c>
      <c r="S8" t="s">
        <v>74</v>
      </c>
      <c r="T8" t="s">
        <v>174</v>
      </c>
      <c r="U8" t="s">
        <v>74</v>
      </c>
      <c r="V8" t="s">
        <v>175</v>
      </c>
      <c r="W8" t="s">
        <v>176</v>
      </c>
      <c r="X8" t="s">
        <v>74</v>
      </c>
      <c r="Y8" t="s">
        <v>177</v>
      </c>
      <c r="Z8" t="s">
        <v>178</v>
      </c>
      <c r="AA8" t="s">
        <v>179</v>
      </c>
      <c r="AB8" t="s">
        <v>74</v>
      </c>
      <c r="AC8" t="s">
        <v>74</v>
      </c>
      <c r="AD8" t="s">
        <v>74</v>
      </c>
      <c r="AE8" t="s">
        <v>74</v>
      </c>
      <c r="AF8" t="s">
        <v>74</v>
      </c>
      <c r="AG8" t="s">
        <v>74</v>
      </c>
      <c r="AH8" t="s">
        <v>74</v>
      </c>
      <c r="AI8" t="s">
        <v>74</v>
      </c>
      <c r="AJ8" t="s">
        <v>74</v>
      </c>
      <c r="AK8" t="s">
        <v>74</v>
      </c>
      <c r="AL8" t="s">
        <v>74</v>
      </c>
      <c r="AM8" t="s">
        <v>74</v>
      </c>
      <c r="AN8" t="s">
        <v>74</v>
      </c>
      <c r="AO8" t="s">
        <v>180</v>
      </c>
      <c r="AP8" t="s">
        <v>180</v>
      </c>
      <c r="AQ8" t="s">
        <v>74</v>
      </c>
      <c r="AR8" t="s">
        <v>74</v>
      </c>
      <c r="AS8" t="s">
        <v>74</v>
      </c>
      <c r="AT8" t="s">
        <v>181</v>
      </c>
      <c r="AU8">
        <v>2025</v>
      </c>
      <c r="AV8">
        <v>15</v>
      </c>
      <c r="AW8">
        <v>6</v>
      </c>
      <c r="AX8" t="s">
        <v>74</v>
      </c>
      <c r="AY8" t="s">
        <v>74</v>
      </c>
      <c r="AZ8" t="s">
        <v>74</v>
      </c>
      <c r="BA8" t="s">
        <v>74</v>
      </c>
      <c r="BB8" t="s">
        <v>74</v>
      </c>
      <c r="BC8" t="s">
        <v>74</v>
      </c>
      <c r="BD8">
        <v>839</v>
      </c>
      <c r="BE8" t="s">
        <v>182</v>
      </c>
      <c r="BF8" t="str">
        <f>HYPERLINK("http://dx.doi.org/10.3390/life15060839","http://dx.doi.org/10.3390/life15060839")</f>
        <v>http://dx.doi.org/10.3390/life15060839</v>
      </c>
      <c r="BG8" t="s">
        <v>74</v>
      </c>
      <c r="BH8" t="s">
        <v>74</v>
      </c>
      <c r="BI8" t="s">
        <v>74</v>
      </c>
      <c r="BJ8" t="s">
        <v>183</v>
      </c>
      <c r="BK8" t="s">
        <v>74</v>
      </c>
      <c r="BL8" t="s">
        <v>74</v>
      </c>
      <c r="BM8" t="s">
        <v>74</v>
      </c>
      <c r="BN8" t="s">
        <v>74</v>
      </c>
      <c r="BO8" t="s">
        <v>74</v>
      </c>
      <c r="BP8" t="s">
        <v>74</v>
      </c>
      <c r="BQ8" t="s">
        <v>74</v>
      </c>
      <c r="BR8" t="s">
        <v>74</v>
      </c>
      <c r="BS8" t="s">
        <v>74</v>
      </c>
      <c r="BT8" t="str">
        <f>HYPERLINK("https%3A%2F%2Fwww.webofscience.com%2Fwos%2Fwoscc%2Ffull-record%2F","View Full Record in Web of Science")</f>
        <v>View Full Record in Web of Science</v>
      </c>
    </row>
    <row r="9" spans="1:72" x14ac:dyDescent="0.2">
      <c r="A9" t="s">
        <v>72</v>
      </c>
      <c r="B9" t="s">
        <v>184</v>
      </c>
      <c r="C9" t="s">
        <v>74</v>
      </c>
      <c r="D9" t="s">
        <v>74</v>
      </c>
      <c r="E9" t="s">
        <v>74</v>
      </c>
      <c r="F9" t="s">
        <v>185</v>
      </c>
      <c r="G9" t="s">
        <v>74</v>
      </c>
      <c r="H9" t="s">
        <v>74</v>
      </c>
      <c r="I9" t="s">
        <v>186</v>
      </c>
      <c r="J9" t="s">
        <v>187</v>
      </c>
      <c r="K9" t="s">
        <v>74</v>
      </c>
      <c r="L9" t="s">
        <v>74</v>
      </c>
      <c r="M9" t="s">
        <v>74</v>
      </c>
      <c r="N9" t="s">
        <v>74</v>
      </c>
      <c r="O9" t="s">
        <v>74</v>
      </c>
      <c r="P9" t="s">
        <v>74</v>
      </c>
      <c r="Q9" t="s">
        <v>74</v>
      </c>
      <c r="R9" t="s">
        <v>74</v>
      </c>
      <c r="S9" t="s">
        <v>74</v>
      </c>
      <c r="T9" t="s">
        <v>188</v>
      </c>
      <c r="U9" t="s">
        <v>189</v>
      </c>
      <c r="V9" t="s">
        <v>190</v>
      </c>
      <c r="W9" t="s">
        <v>191</v>
      </c>
      <c r="X9" t="s">
        <v>74</v>
      </c>
      <c r="Y9" t="s">
        <v>192</v>
      </c>
      <c r="Z9" t="s">
        <v>193</v>
      </c>
      <c r="AA9" t="s">
        <v>194</v>
      </c>
      <c r="AB9" t="s">
        <v>195</v>
      </c>
      <c r="AC9" t="s">
        <v>74</v>
      </c>
      <c r="AD9" t="s">
        <v>74</v>
      </c>
      <c r="AE9" t="s">
        <v>74</v>
      </c>
      <c r="AF9" t="s">
        <v>74</v>
      </c>
      <c r="AG9" t="s">
        <v>74</v>
      </c>
      <c r="AH9" t="s">
        <v>74</v>
      </c>
      <c r="AI9" t="s">
        <v>74</v>
      </c>
      <c r="AJ9" t="s">
        <v>74</v>
      </c>
      <c r="AK9" t="s">
        <v>74</v>
      </c>
      <c r="AL9" t="s">
        <v>74</v>
      </c>
      <c r="AM9" t="s">
        <v>74</v>
      </c>
      <c r="AN9" t="s">
        <v>74</v>
      </c>
      <c r="AO9" t="s">
        <v>196</v>
      </c>
      <c r="AP9" t="s">
        <v>196</v>
      </c>
      <c r="AQ9" t="s">
        <v>74</v>
      </c>
      <c r="AR9" t="s">
        <v>74</v>
      </c>
      <c r="AS9" t="s">
        <v>74</v>
      </c>
      <c r="AT9" t="s">
        <v>197</v>
      </c>
      <c r="AU9">
        <v>2025</v>
      </c>
      <c r="AV9">
        <v>15</v>
      </c>
      <c r="AW9">
        <v>11</v>
      </c>
      <c r="AX9" t="s">
        <v>74</v>
      </c>
      <c r="AY9" t="s">
        <v>74</v>
      </c>
      <c r="AZ9" t="s">
        <v>74</v>
      </c>
      <c r="BA9" t="s">
        <v>74</v>
      </c>
      <c r="BB9" t="s">
        <v>74</v>
      </c>
      <c r="BC9" t="s">
        <v>74</v>
      </c>
      <c r="BD9">
        <v>1389</v>
      </c>
      <c r="BE9" t="s">
        <v>198</v>
      </c>
      <c r="BF9" t="str">
        <f>HYPERLINK("http://dx.doi.org/10.3390/diagnostics15111389","http://dx.doi.org/10.3390/diagnostics15111389")</f>
        <v>http://dx.doi.org/10.3390/diagnostics15111389</v>
      </c>
      <c r="BG9" t="s">
        <v>74</v>
      </c>
      <c r="BH9" t="s">
        <v>74</v>
      </c>
      <c r="BI9" t="s">
        <v>74</v>
      </c>
      <c r="BJ9" t="s">
        <v>199</v>
      </c>
      <c r="BK9" t="s">
        <v>74</v>
      </c>
      <c r="BL9" t="s">
        <v>74</v>
      </c>
      <c r="BM9" t="s">
        <v>74</v>
      </c>
      <c r="BN9" t="s">
        <v>74</v>
      </c>
      <c r="BO9" t="s">
        <v>74</v>
      </c>
      <c r="BP9" t="s">
        <v>74</v>
      </c>
      <c r="BQ9" t="s">
        <v>74</v>
      </c>
      <c r="BR9" t="s">
        <v>74</v>
      </c>
      <c r="BS9" t="s">
        <v>74</v>
      </c>
      <c r="BT9" t="str">
        <f>HYPERLINK("https%3A%2F%2Fwww.webofscience.com%2Fwos%2Fwoscc%2Ffull-record%2F","View Full Record in Web of Science")</f>
        <v>View Full Record in Web of Science</v>
      </c>
    </row>
    <row r="10" spans="1:72" x14ac:dyDescent="0.2">
      <c r="A10" t="s">
        <v>72</v>
      </c>
      <c r="B10" t="s">
        <v>200</v>
      </c>
      <c r="C10" t="s">
        <v>74</v>
      </c>
      <c r="D10" t="s">
        <v>74</v>
      </c>
      <c r="E10" t="s">
        <v>74</v>
      </c>
      <c r="F10" t="s">
        <v>201</v>
      </c>
      <c r="G10" t="s">
        <v>74</v>
      </c>
      <c r="H10" t="s">
        <v>74</v>
      </c>
      <c r="I10" t="s">
        <v>202</v>
      </c>
      <c r="J10" t="s">
        <v>203</v>
      </c>
      <c r="K10" t="s">
        <v>74</v>
      </c>
      <c r="L10" t="s">
        <v>74</v>
      </c>
      <c r="M10" t="s">
        <v>74</v>
      </c>
      <c r="N10" t="s">
        <v>74</v>
      </c>
      <c r="O10" t="s">
        <v>74</v>
      </c>
      <c r="P10" t="s">
        <v>74</v>
      </c>
      <c r="Q10" t="s">
        <v>74</v>
      </c>
      <c r="R10" t="s">
        <v>74</v>
      </c>
      <c r="S10" t="s">
        <v>74</v>
      </c>
      <c r="T10" t="s">
        <v>204</v>
      </c>
      <c r="U10" t="s">
        <v>205</v>
      </c>
      <c r="V10" t="s">
        <v>206</v>
      </c>
      <c r="W10" t="s">
        <v>207</v>
      </c>
      <c r="X10" t="s">
        <v>74</v>
      </c>
      <c r="Y10" t="s">
        <v>208</v>
      </c>
      <c r="Z10" t="s">
        <v>209</v>
      </c>
      <c r="AA10" t="s">
        <v>210</v>
      </c>
      <c r="AB10" t="s">
        <v>74</v>
      </c>
      <c r="AC10" t="s">
        <v>74</v>
      </c>
      <c r="AD10" t="s">
        <v>74</v>
      </c>
      <c r="AE10" t="s">
        <v>74</v>
      </c>
      <c r="AF10" t="s">
        <v>74</v>
      </c>
      <c r="AG10" t="s">
        <v>74</v>
      </c>
      <c r="AH10" t="s">
        <v>74</v>
      </c>
      <c r="AI10" t="s">
        <v>74</v>
      </c>
      <c r="AJ10" t="s">
        <v>74</v>
      </c>
      <c r="AK10" t="s">
        <v>74</v>
      </c>
      <c r="AL10" t="s">
        <v>74</v>
      </c>
      <c r="AM10" t="s">
        <v>74</v>
      </c>
      <c r="AN10" t="s">
        <v>74</v>
      </c>
      <c r="AO10" t="s">
        <v>211</v>
      </c>
      <c r="AP10" t="s">
        <v>74</v>
      </c>
      <c r="AQ10" t="s">
        <v>74</v>
      </c>
      <c r="AR10" t="s">
        <v>74</v>
      </c>
      <c r="AS10" t="s">
        <v>74</v>
      </c>
      <c r="AT10" t="s">
        <v>212</v>
      </c>
      <c r="AU10">
        <v>2025</v>
      </c>
      <c r="AV10" t="s">
        <v>74</v>
      </c>
      <c r="AW10" t="s">
        <v>74</v>
      </c>
      <c r="AX10" t="s">
        <v>74</v>
      </c>
      <c r="AY10" t="s">
        <v>74</v>
      </c>
      <c r="AZ10" t="s">
        <v>74</v>
      </c>
      <c r="BA10" t="s">
        <v>74</v>
      </c>
      <c r="BB10" t="s">
        <v>74</v>
      </c>
      <c r="BC10" t="s">
        <v>74</v>
      </c>
      <c r="BD10" t="s">
        <v>74</v>
      </c>
      <c r="BE10" t="s">
        <v>213</v>
      </c>
      <c r="BF10" t="str">
        <f>HYPERLINK("http://dx.doi.org/10.1002/smtd.202401987","http://dx.doi.org/10.1002/smtd.202401987")</f>
        <v>http://dx.doi.org/10.1002/smtd.202401987</v>
      </c>
      <c r="BG10" t="s">
        <v>74</v>
      </c>
      <c r="BH10" t="s">
        <v>214</v>
      </c>
      <c r="BI10" t="s">
        <v>74</v>
      </c>
      <c r="BJ10" t="s">
        <v>215</v>
      </c>
      <c r="BK10" t="s">
        <v>74</v>
      </c>
      <c r="BL10" t="s">
        <v>74</v>
      </c>
      <c r="BM10" t="s">
        <v>74</v>
      </c>
      <c r="BN10">
        <v>40405764</v>
      </c>
      <c r="BO10" t="s">
        <v>74</v>
      </c>
      <c r="BP10" t="s">
        <v>74</v>
      </c>
      <c r="BQ10" t="s">
        <v>74</v>
      </c>
      <c r="BR10" t="s">
        <v>74</v>
      </c>
      <c r="BS10" t="s">
        <v>216</v>
      </c>
      <c r="BT10" t="str">
        <f>HYPERLINK("https%3A%2F%2Fwww.webofscience.com%2Fwos%2Fwoscc%2Ffull-record%2FWOS:001493111200001","View Full Record in Web of Science")</f>
        <v>View Full Record in Web of Science</v>
      </c>
    </row>
    <row r="11" spans="1:72" x14ac:dyDescent="0.2">
      <c r="A11" t="s">
        <v>72</v>
      </c>
      <c r="B11" t="s">
        <v>217</v>
      </c>
      <c r="C11" t="s">
        <v>74</v>
      </c>
      <c r="D11" t="s">
        <v>74</v>
      </c>
      <c r="E11" t="s">
        <v>74</v>
      </c>
      <c r="F11" t="s">
        <v>218</v>
      </c>
      <c r="G11" t="s">
        <v>74</v>
      </c>
      <c r="H11" t="s">
        <v>74</v>
      </c>
      <c r="I11" t="s">
        <v>219</v>
      </c>
      <c r="J11" t="s">
        <v>220</v>
      </c>
      <c r="K11" t="s">
        <v>74</v>
      </c>
      <c r="L11" t="s">
        <v>74</v>
      </c>
      <c r="M11" t="s">
        <v>74</v>
      </c>
      <c r="N11" t="s">
        <v>74</v>
      </c>
      <c r="O11" t="s">
        <v>74</v>
      </c>
      <c r="P11" t="s">
        <v>74</v>
      </c>
      <c r="Q11" t="s">
        <v>74</v>
      </c>
      <c r="R11" t="s">
        <v>74</v>
      </c>
      <c r="S11" t="s">
        <v>74</v>
      </c>
      <c r="T11" t="s">
        <v>221</v>
      </c>
      <c r="U11" t="s">
        <v>222</v>
      </c>
      <c r="V11" t="s">
        <v>223</v>
      </c>
      <c r="W11" t="s">
        <v>224</v>
      </c>
      <c r="X11" t="s">
        <v>74</v>
      </c>
      <c r="Y11" t="s">
        <v>225</v>
      </c>
      <c r="Z11" t="s">
        <v>226</v>
      </c>
      <c r="AA11" t="s">
        <v>227</v>
      </c>
      <c r="AB11" t="s">
        <v>74</v>
      </c>
      <c r="AC11" t="s">
        <v>74</v>
      </c>
      <c r="AD11" t="s">
        <v>74</v>
      </c>
      <c r="AE11" t="s">
        <v>74</v>
      </c>
      <c r="AF11" t="s">
        <v>74</v>
      </c>
      <c r="AG11" t="s">
        <v>74</v>
      </c>
      <c r="AH11" t="s">
        <v>74</v>
      </c>
      <c r="AI11" t="s">
        <v>74</v>
      </c>
      <c r="AJ11" t="s">
        <v>74</v>
      </c>
      <c r="AK11" t="s">
        <v>74</v>
      </c>
      <c r="AL11" t="s">
        <v>74</v>
      </c>
      <c r="AM11" t="s">
        <v>74</v>
      </c>
      <c r="AN11" t="s">
        <v>74</v>
      </c>
      <c r="AO11" t="s">
        <v>228</v>
      </c>
      <c r="AP11" t="s">
        <v>229</v>
      </c>
      <c r="AQ11" t="s">
        <v>74</v>
      </c>
      <c r="AR11" t="s">
        <v>74</v>
      </c>
      <c r="AS11" t="s">
        <v>74</v>
      </c>
      <c r="AT11" t="s">
        <v>230</v>
      </c>
      <c r="AU11">
        <v>2025</v>
      </c>
      <c r="AV11" t="s">
        <v>74</v>
      </c>
      <c r="AW11" t="s">
        <v>74</v>
      </c>
      <c r="AX11" t="s">
        <v>74</v>
      </c>
      <c r="AY11" t="s">
        <v>74</v>
      </c>
      <c r="AZ11" t="s">
        <v>74</v>
      </c>
      <c r="BA11" t="s">
        <v>74</v>
      </c>
      <c r="BB11" t="s">
        <v>74</v>
      </c>
      <c r="BC11" t="s">
        <v>74</v>
      </c>
      <c r="BD11" t="s">
        <v>74</v>
      </c>
      <c r="BE11" t="s">
        <v>231</v>
      </c>
      <c r="BF11" t="str">
        <f>HYPERLINK("http://dx.doi.org/10.1093/nop/npaf075","http://dx.doi.org/10.1093/nop/npaf075")</f>
        <v>http://dx.doi.org/10.1093/nop/npaf075</v>
      </c>
      <c r="BG11" t="s">
        <v>74</v>
      </c>
      <c r="BH11" t="s">
        <v>232</v>
      </c>
      <c r="BI11" t="s">
        <v>74</v>
      </c>
      <c r="BJ11" t="s">
        <v>233</v>
      </c>
      <c r="BK11" t="s">
        <v>74</v>
      </c>
      <c r="BL11" t="s">
        <v>74</v>
      </c>
      <c r="BM11" t="s">
        <v>74</v>
      </c>
      <c r="BN11" t="s">
        <v>74</v>
      </c>
      <c r="BO11" t="s">
        <v>74</v>
      </c>
      <c r="BP11" t="s">
        <v>74</v>
      </c>
      <c r="BQ11" t="s">
        <v>74</v>
      </c>
      <c r="BR11" t="s">
        <v>74</v>
      </c>
      <c r="BS11" t="s">
        <v>234</v>
      </c>
      <c r="BT11" t="str">
        <f>HYPERLINK("https%3A%2F%2Fwww.webofscience.com%2Fwos%2Fwoscc%2Ffull-record%2FWOS:001550434800001","View Full Record in Web of Science")</f>
        <v>View Full Record in Web of Science</v>
      </c>
    </row>
    <row r="12" spans="1:72" x14ac:dyDescent="0.2">
      <c r="A12" t="s">
        <v>72</v>
      </c>
      <c r="B12" t="s">
        <v>235</v>
      </c>
      <c r="C12" t="s">
        <v>74</v>
      </c>
      <c r="D12" t="s">
        <v>74</v>
      </c>
      <c r="E12" t="s">
        <v>74</v>
      </c>
      <c r="F12" t="s">
        <v>236</v>
      </c>
      <c r="G12" t="s">
        <v>74</v>
      </c>
      <c r="H12" t="s">
        <v>74</v>
      </c>
      <c r="I12" t="s">
        <v>237</v>
      </c>
      <c r="J12" t="s">
        <v>238</v>
      </c>
      <c r="K12" t="s">
        <v>74</v>
      </c>
      <c r="L12" t="s">
        <v>74</v>
      </c>
      <c r="M12" t="s">
        <v>74</v>
      </c>
      <c r="N12" t="s">
        <v>74</v>
      </c>
      <c r="O12" t="s">
        <v>74</v>
      </c>
      <c r="P12" t="s">
        <v>74</v>
      </c>
      <c r="Q12" t="s">
        <v>74</v>
      </c>
      <c r="R12" t="s">
        <v>74</v>
      </c>
      <c r="S12" t="s">
        <v>74</v>
      </c>
      <c r="T12" t="s">
        <v>74</v>
      </c>
      <c r="U12" t="s">
        <v>239</v>
      </c>
      <c r="V12" t="s">
        <v>240</v>
      </c>
      <c r="W12" t="s">
        <v>241</v>
      </c>
      <c r="X12" t="s">
        <v>74</v>
      </c>
      <c r="Y12" t="s">
        <v>242</v>
      </c>
      <c r="Z12" t="s">
        <v>243</v>
      </c>
      <c r="AA12" t="s">
        <v>244</v>
      </c>
      <c r="AB12" t="s">
        <v>245</v>
      </c>
      <c r="AC12" t="s">
        <v>74</v>
      </c>
      <c r="AD12" t="s">
        <v>74</v>
      </c>
      <c r="AE12" t="s">
        <v>74</v>
      </c>
      <c r="AF12" t="s">
        <v>74</v>
      </c>
      <c r="AG12" t="s">
        <v>74</v>
      </c>
      <c r="AH12" t="s">
        <v>74</v>
      </c>
      <c r="AI12" t="s">
        <v>74</v>
      </c>
      <c r="AJ12" t="s">
        <v>74</v>
      </c>
      <c r="AK12" t="s">
        <v>74</v>
      </c>
      <c r="AL12" t="s">
        <v>74</v>
      </c>
      <c r="AM12" t="s">
        <v>74</v>
      </c>
      <c r="AN12" t="s">
        <v>74</v>
      </c>
      <c r="AO12" t="s">
        <v>246</v>
      </c>
      <c r="AP12" t="s">
        <v>74</v>
      </c>
      <c r="AQ12" t="s">
        <v>74</v>
      </c>
      <c r="AR12" t="s">
        <v>74</v>
      </c>
      <c r="AS12" t="s">
        <v>74</v>
      </c>
      <c r="AT12" t="s">
        <v>247</v>
      </c>
      <c r="AU12">
        <v>2025</v>
      </c>
      <c r="AV12">
        <v>10</v>
      </c>
      <c r="AW12">
        <v>19</v>
      </c>
      <c r="AX12" t="s">
        <v>74</v>
      </c>
      <c r="AY12" t="s">
        <v>74</v>
      </c>
      <c r="AZ12" t="s">
        <v>74</v>
      </c>
      <c r="BA12" t="s">
        <v>74</v>
      </c>
      <c r="BB12">
        <v>19770</v>
      </c>
      <c r="BC12">
        <v>19796</v>
      </c>
      <c r="BD12" t="s">
        <v>74</v>
      </c>
      <c r="BE12" t="s">
        <v>248</v>
      </c>
      <c r="BF12" t="str">
        <f>HYPERLINK("http://dx.doi.org/10.1021/acsomega.5c00981","http://dx.doi.org/10.1021/acsomega.5c00981")</f>
        <v>http://dx.doi.org/10.1021/acsomega.5c00981</v>
      </c>
      <c r="BG12" t="s">
        <v>74</v>
      </c>
      <c r="BH12" t="s">
        <v>214</v>
      </c>
      <c r="BI12" t="s">
        <v>74</v>
      </c>
      <c r="BJ12" t="s">
        <v>249</v>
      </c>
      <c r="BK12" t="s">
        <v>74</v>
      </c>
      <c r="BL12" t="s">
        <v>74</v>
      </c>
      <c r="BM12" t="s">
        <v>74</v>
      </c>
      <c r="BN12">
        <v>40415801</v>
      </c>
      <c r="BO12" t="s">
        <v>74</v>
      </c>
      <c r="BP12" t="s">
        <v>74</v>
      </c>
      <c r="BQ12" t="s">
        <v>74</v>
      </c>
      <c r="BR12" t="s">
        <v>74</v>
      </c>
      <c r="BS12" t="s">
        <v>250</v>
      </c>
      <c r="BT12" t="str">
        <f>HYPERLINK("https%3A%2F%2Fwww.webofscience.com%2Fwos%2Fwoscc%2Ffull-record%2FWOS:001487197400001","View Full Record in Web of Science")</f>
        <v>View Full Record in Web of Science</v>
      </c>
    </row>
    <row r="13" spans="1:72" x14ac:dyDescent="0.2">
      <c r="A13" t="s">
        <v>72</v>
      </c>
      <c r="B13" t="s">
        <v>251</v>
      </c>
      <c r="C13" t="s">
        <v>74</v>
      </c>
      <c r="D13" t="s">
        <v>74</v>
      </c>
      <c r="E13" t="s">
        <v>74</v>
      </c>
      <c r="F13" t="s">
        <v>252</v>
      </c>
      <c r="G13" t="s">
        <v>74</v>
      </c>
      <c r="H13" t="s">
        <v>74</v>
      </c>
      <c r="I13" t="s">
        <v>253</v>
      </c>
      <c r="J13" t="s">
        <v>254</v>
      </c>
      <c r="K13" t="s">
        <v>74</v>
      </c>
      <c r="L13" t="s">
        <v>74</v>
      </c>
      <c r="M13" t="s">
        <v>74</v>
      </c>
      <c r="N13" t="s">
        <v>74</v>
      </c>
      <c r="O13" t="s">
        <v>74</v>
      </c>
      <c r="P13" t="s">
        <v>74</v>
      </c>
      <c r="Q13" t="s">
        <v>74</v>
      </c>
      <c r="R13" t="s">
        <v>74</v>
      </c>
      <c r="S13" t="s">
        <v>74</v>
      </c>
      <c r="T13" t="s">
        <v>255</v>
      </c>
      <c r="U13" t="s">
        <v>256</v>
      </c>
      <c r="V13" t="s">
        <v>257</v>
      </c>
      <c r="W13" t="s">
        <v>258</v>
      </c>
      <c r="X13" t="s">
        <v>74</v>
      </c>
      <c r="Y13" t="s">
        <v>259</v>
      </c>
      <c r="Z13" t="s">
        <v>260</v>
      </c>
      <c r="AA13" t="s">
        <v>261</v>
      </c>
      <c r="AB13" t="s">
        <v>74</v>
      </c>
      <c r="AC13" t="s">
        <v>74</v>
      </c>
      <c r="AD13" t="s">
        <v>74</v>
      </c>
      <c r="AE13" t="s">
        <v>74</v>
      </c>
      <c r="AF13" t="s">
        <v>74</v>
      </c>
      <c r="AG13" t="s">
        <v>74</v>
      </c>
      <c r="AH13" t="s">
        <v>74</v>
      </c>
      <c r="AI13" t="s">
        <v>74</v>
      </c>
      <c r="AJ13" t="s">
        <v>74</v>
      </c>
      <c r="AK13" t="s">
        <v>74</v>
      </c>
      <c r="AL13" t="s">
        <v>74</v>
      </c>
      <c r="AM13" t="s">
        <v>74</v>
      </c>
      <c r="AN13" t="s">
        <v>74</v>
      </c>
      <c r="AO13" t="s">
        <v>74</v>
      </c>
      <c r="AP13" t="s">
        <v>262</v>
      </c>
      <c r="AQ13" t="s">
        <v>74</v>
      </c>
      <c r="AR13" t="s">
        <v>74</v>
      </c>
      <c r="AS13" t="s">
        <v>74</v>
      </c>
      <c r="AT13" t="s">
        <v>263</v>
      </c>
      <c r="AU13">
        <v>2025</v>
      </c>
      <c r="AV13" t="s">
        <v>74</v>
      </c>
      <c r="AW13" t="s">
        <v>74</v>
      </c>
      <c r="AX13" t="s">
        <v>74</v>
      </c>
      <c r="AY13" t="s">
        <v>74</v>
      </c>
      <c r="AZ13" t="s">
        <v>74</v>
      </c>
      <c r="BA13" t="s">
        <v>74</v>
      </c>
      <c r="BB13" t="s">
        <v>74</v>
      </c>
      <c r="BC13" t="s">
        <v>74</v>
      </c>
      <c r="BD13" t="s">
        <v>74</v>
      </c>
      <c r="BE13" t="s">
        <v>264</v>
      </c>
      <c r="BF13" t="str">
        <f>HYPERLINK("http://dx.doi.org/10.1002/btm2.10757","http://dx.doi.org/10.1002/btm2.10757")</f>
        <v>http://dx.doi.org/10.1002/btm2.10757</v>
      </c>
      <c r="BG13" t="s">
        <v>74</v>
      </c>
      <c r="BH13" t="s">
        <v>265</v>
      </c>
      <c r="BI13" t="s">
        <v>74</v>
      </c>
      <c r="BJ13" t="s">
        <v>266</v>
      </c>
      <c r="BK13" t="s">
        <v>74</v>
      </c>
      <c r="BL13" t="s">
        <v>74</v>
      </c>
      <c r="BM13" t="s">
        <v>74</v>
      </c>
      <c r="BN13">
        <v>40385544</v>
      </c>
      <c r="BO13" t="s">
        <v>74</v>
      </c>
      <c r="BP13" t="s">
        <v>74</v>
      </c>
      <c r="BQ13" t="s">
        <v>74</v>
      </c>
      <c r="BR13" t="s">
        <v>74</v>
      </c>
      <c r="BS13" t="s">
        <v>267</v>
      </c>
      <c r="BT13" t="str">
        <f>HYPERLINK("https%3A%2F%2Fwww.webofscience.com%2Fwos%2Fwoscc%2Ffull-record%2FWOS:001411857700001","View Full Record in Web of Science")</f>
        <v>View Full Record in Web of Science</v>
      </c>
    </row>
    <row r="14" spans="1:72" x14ac:dyDescent="0.2">
      <c r="A14" t="s">
        <v>72</v>
      </c>
      <c r="B14" t="s">
        <v>268</v>
      </c>
      <c r="C14" t="s">
        <v>74</v>
      </c>
      <c r="D14" t="s">
        <v>74</v>
      </c>
      <c r="E14" t="s">
        <v>74</v>
      </c>
      <c r="F14" t="s">
        <v>269</v>
      </c>
      <c r="G14" t="s">
        <v>74</v>
      </c>
      <c r="H14" t="s">
        <v>74</v>
      </c>
      <c r="I14" t="s">
        <v>270</v>
      </c>
      <c r="J14" t="s">
        <v>271</v>
      </c>
      <c r="K14" t="s">
        <v>74</v>
      </c>
      <c r="L14" t="s">
        <v>74</v>
      </c>
      <c r="M14" t="s">
        <v>74</v>
      </c>
      <c r="N14" t="s">
        <v>74</v>
      </c>
      <c r="O14" t="s">
        <v>74</v>
      </c>
      <c r="P14" t="s">
        <v>74</v>
      </c>
      <c r="Q14" t="s">
        <v>74</v>
      </c>
      <c r="R14" t="s">
        <v>74</v>
      </c>
      <c r="S14" t="s">
        <v>74</v>
      </c>
      <c r="T14" t="s">
        <v>272</v>
      </c>
      <c r="U14" t="s">
        <v>273</v>
      </c>
      <c r="V14" t="s">
        <v>274</v>
      </c>
      <c r="W14" t="s">
        <v>275</v>
      </c>
      <c r="X14" t="s">
        <v>74</v>
      </c>
      <c r="Y14" t="s">
        <v>276</v>
      </c>
      <c r="Z14" t="s">
        <v>277</v>
      </c>
      <c r="AA14" t="s">
        <v>278</v>
      </c>
      <c r="AB14" t="s">
        <v>74</v>
      </c>
      <c r="AC14" t="s">
        <v>74</v>
      </c>
      <c r="AD14" t="s">
        <v>74</v>
      </c>
      <c r="AE14" t="s">
        <v>74</v>
      </c>
      <c r="AF14" t="s">
        <v>74</v>
      </c>
      <c r="AG14" t="s">
        <v>74</v>
      </c>
      <c r="AH14" t="s">
        <v>74</v>
      </c>
      <c r="AI14" t="s">
        <v>74</v>
      </c>
      <c r="AJ14" t="s">
        <v>74</v>
      </c>
      <c r="AK14" t="s">
        <v>74</v>
      </c>
      <c r="AL14" t="s">
        <v>74</v>
      </c>
      <c r="AM14" t="s">
        <v>74</v>
      </c>
      <c r="AN14" t="s">
        <v>74</v>
      </c>
      <c r="AO14" t="s">
        <v>279</v>
      </c>
      <c r="AP14" t="s">
        <v>280</v>
      </c>
      <c r="AQ14" t="s">
        <v>74</v>
      </c>
      <c r="AR14" t="s">
        <v>74</v>
      </c>
      <c r="AS14" t="s">
        <v>74</v>
      </c>
      <c r="AT14" t="s">
        <v>281</v>
      </c>
      <c r="AU14">
        <v>2025</v>
      </c>
      <c r="AV14">
        <v>26</v>
      </c>
      <c r="AW14">
        <v>1</v>
      </c>
      <c r="AX14" t="s">
        <v>74</v>
      </c>
      <c r="AY14" t="s">
        <v>74</v>
      </c>
      <c r="AZ14" t="s">
        <v>74</v>
      </c>
      <c r="BA14" t="s">
        <v>74</v>
      </c>
      <c r="BB14" t="s">
        <v>74</v>
      </c>
      <c r="BC14" t="s">
        <v>74</v>
      </c>
      <c r="BD14" t="s">
        <v>282</v>
      </c>
      <c r="BE14" t="s">
        <v>283</v>
      </c>
      <c r="BF14" t="str">
        <f>HYPERLINK("http://dx.doi.org/10.1093/bib/bbaf003","http://dx.doi.org/10.1093/bib/bbaf003")</f>
        <v>http://dx.doi.org/10.1093/bib/bbaf003</v>
      </c>
      <c r="BG14" t="s">
        <v>74</v>
      </c>
      <c r="BH14" t="s">
        <v>74</v>
      </c>
      <c r="BI14" t="s">
        <v>74</v>
      </c>
      <c r="BJ14" t="s">
        <v>284</v>
      </c>
      <c r="BK14" t="s">
        <v>74</v>
      </c>
      <c r="BL14" t="s">
        <v>74</v>
      </c>
      <c r="BM14" t="s">
        <v>74</v>
      </c>
      <c r="BN14">
        <v>39913621</v>
      </c>
      <c r="BO14" t="s">
        <v>74</v>
      </c>
      <c r="BP14" t="s">
        <v>74</v>
      </c>
      <c r="BQ14" t="s">
        <v>74</v>
      </c>
      <c r="BR14" t="s">
        <v>74</v>
      </c>
      <c r="BS14" t="s">
        <v>285</v>
      </c>
      <c r="BT14" t="str">
        <f>HYPERLINK("https%3A%2F%2Fwww.webofscience.com%2Fwos%2Fwoscc%2Ffull-record%2FWOS:001414534500001","View Full Record in Web of Science")</f>
        <v>View Full Record in Web of Science</v>
      </c>
    </row>
    <row r="15" spans="1:72" x14ac:dyDescent="0.2">
      <c r="A15" t="s">
        <v>72</v>
      </c>
      <c r="B15" t="s">
        <v>286</v>
      </c>
      <c r="C15" t="s">
        <v>74</v>
      </c>
      <c r="D15" t="s">
        <v>74</v>
      </c>
      <c r="E15" t="s">
        <v>74</v>
      </c>
      <c r="F15" t="s">
        <v>287</v>
      </c>
      <c r="G15" t="s">
        <v>74</v>
      </c>
      <c r="H15" t="s">
        <v>74</v>
      </c>
      <c r="I15" t="s">
        <v>288</v>
      </c>
      <c r="J15" t="s">
        <v>289</v>
      </c>
      <c r="K15" t="s">
        <v>74</v>
      </c>
      <c r="L15" t="s">
        <v>74</v>
      </c>
      <c r="M15" t="s">
        <v>74</v>
      </c>
      <c r="N15" t="s">
        <v>74</v>
      </c>
      <c r="O15" t="s">
        <v>74</v>
      </c>
      <c r="P15" t="s">
        <v>74</v>
      </c>
      <c r="Q15" t="s">
        <v>74</v>
      </c>
      <c r="R15" t="s">
        <v>74</v>
      </c>
      <c r="S15" t="s">
        <v>74</v>
      </c>
      <c r="T15" t="s">
        <v>290</v>
      </c>
      <c r="U15" t="s">
        <v>74</v>
      </c>
      <c r="V15" t="s">
        <v>291</v>
      </c>
      <c r="W15" t="s">
        <v>292</v>
      </c>
      <c r="X15" t="s">
        <v>74</v>
      </c>
      <c r="Y15" t="s">
        <v>293</v>
      </c>
      <c r="Z15" t="s">
        <v>294</v>
      </c>
      <c r="AA15" t="s">
        <v>295</v>
      </c>
      <c r="AB15" t="s">
        <v>296</v>
      </c>
      <c r="AC15" t="s">
        <v>74</v>
      </c>
      <c r="AD15" t="s">
        <v>74</v>
      </c>
      <c r="AE15" t="s">
        <v>74</v>
      </c>
      <c r="AF15" t="s">
        <v>74</v>
      </c>
      <c r="AG15" t="s">
        <v>74</v>
      </c>
      <c r="AH15" t="s">
        <v>74</v>
      </c>
      <c r="AI15" t="s">
        <v>74</v>
      </c>
      <c r="AJ15" t="s">
        <v>74</v>
      </c>
      <c r="AK15" t="s">
        <v>74</v>
      </c>
      <c r="AL15" t="s">
        <v>74</v>
      </c>
      <c r="AM15" t="s">
        <v>74</v>
      </c>
      <c r="AN15" t="s">
        <v>74</v>
      </c>
      <c r="AO15" t="s">
        <v>74</v>
      </c>
      <c r="AP15" t="s">
        <v>297</v>
      </c>
      <c r="AQ15" t="s">
        <v>74</v>
      </c>
      <c r="AR15" t="s">
        <v>74</v>
      </c>
      <c r="AS15" t="s">
        <v>74</v>
      </c>
      <c r="AT15" t="s">
        <v>298</v>
      </c>
      <c r="AU15">
        <v>2025</v>
      </c>
      <c r="AV15">
        <v>12</v>
      </c>
      <c r="AW15">
        <v>1</v>
      </c>
      <c r="AX15" t="s">
        <v>74</v>
      </c>
      <c r="AY15" t="s">
        <v>74</v>
      </c>
      <c r="AZ15" t="s">
        <v>74</v>
      </c>
      <c r="BA15" t="s">
        <v>74</v>
      </c>
      <c r="BB15" t="s">
        <v>74</v>
      </c>
      <c r="BC15" t="s">
        <v>74</v>
      </c>
      <c r="BD15">
        <v>62</v>
      </c>
      <c r="BE15" t="s">
        <v>299</v>
      </c>
      <c r="BF15" t="str">
        <f>HYPERLINK("http://dx.doi.org/10.3390/bioengineering12010062","http://dx.doi.org/10.3390/bioengineering12010062")</f>
        <v>http://dx.doi.org/10.3390/bioengineering12010062</v>
      </c>
      <c r="BG15" t="s">
        <v>74</v>
      </c>
      <c r="BH15" t="s">
        <v>74</v>
      </c>
      <c r="BI15" t="s">
        <v>74</v>
      </c>
      <c r="BJ15" t="s">
        <v>300</v>
      </c>
      <c r="BK15" t="s">
        <v>74</v>
      </c>
      <c r="BL15" t="s">
        <v>74</v>
      </c>
      <c r="BM15" t="s">
        <v>74</v>
      </c>
      <c r="BN15">
        <v>39851336</v>
      </c>
      <c r="BO15" t="s">
        <v>74</v>
      </c>
      <c r="BP15" t="s">
        <v>74</v>
      </c>
      <c r="BQ15" t="s">
        <v>74</v>
      </c>
      <c r="BR15" t="s">
        <v>74</v>
      </c>
      <c r="BS15" t="s">
        <v>301</v>
      </c>
      <c r="BT15" t="str">
        <f>HYPERLINK("https%3A%2F%2Fwww.webofscience.com%2Fwos%2Fwoscc%2Ffull-record%2FWOS:001404589000001","View Full Record in Web of Science")</f>
        <v>View Full Record in Web of Science</v>
      </c>
    </row>
  </sheetData>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savedrecs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Bogdan Khilchevskiy</cp:lastModifiedBy>
  <dcterms:created xsi:type="dcterms:W3CDTF">2025-09-23T08:54:51Z</dcterms:created>
  <dcterms:modified xsi:type="dcterms:W3CDTF">2025-09-23T08:54:51Z</dcterms:modified>
</cp:coreProperties>
</file>